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60"/>
  </bookViews>
  <sheets>
    <sheet name="旅程" sheetId="1" r:id="rId1"/>
    <sheet name="预算总览" sheetId="2" r:id="rId2"/>
    <sheet name="行前准备清单" sheetId="3" r:id="rId3"/>
    <sheet name="餐厅推荐" sheetId="4" r:id="rId4"/>
    <sheet name="实用贴士" sheetId="5" r:id="rId5"/>
  </sheets>
  <calcPr calcId="144525"/>
</workbook>
</file>

<file path=xl/sharedStrings.xml><?xml version="1.0" encoding="utf-8"?>
<sst xmlns="http://schemas.openxmlformats.org/spreadsheetml/2006/main" count="625" uniqueCount="476">
  <si>
    <t>日期</t>
  </si>
  <si>
    <t>时间</t>
  </si>
  <si>
    <t>活动</t>
  </si>
  <si>
    <t>位置</t>
  </si>
  <si>
    <t>住宿</t>
  </si>
  <si>
    <t>交通费用
(CNY)</t>
  </si>
  <si>
    <t>住宿费用
(CNY/晚)</t>
  </si>
  <si>
    <t>门票费用
(EUR)</t>
  </si>
  <si>
    <t>备注 / 贴士</t>
  </si>
  <si>
    <t>9/24
周三</t>
  </si>
  <si>
    <t>01:45-08:25</t>
  </si>
  <si>
    <t>✈️ 深圳 → 罗马 (Fiumicino)</t>
  </si>
  <si>
    <t>深圳→罗马</t>
  </si>
  <si>
    <t>Mama Shelter Roma</t>
  </si>
  <si>
    <t>飞行约12h40m；建议提前3h到深圳机场；到达后乘Leonardo Express火车到Termini (€14, 32min)</t>
  </si>
  <si>
    <t>08:30-12:00</t>
  </si>
  <si>
    <t>🏨 酒店入住 + 休整</t>
  </si>
  <si>
    <t>罗马</t>
  </si>
  <si>
    <t>如房间未准备好可先寄存行李；在酒店附近买SIM卡</t>
  </si>
  <si>
    <t>12:00-13:00</t>
  </si>
  <si>
    <t>🍝 午餐 — Borgo Pio 街区</t>
  </si>
  <si>
    <t>梵蒂冈附近</t>
  </si>
  <si>
    <t>15-20</t>
  </si>
  <si>
    <t>推荐: Tre Pupazzi (家庭式意面) 或 Pizzarium (街头披萨)</t>
  </si>
  <si>
    <t>13:00-17:00</t>
  </si>
  <si>
    <t>🎨 梵蒂冈博物馆 + 西斯廷教堂</t>
  </si>
  <si>
    <t>梵蒂冈</t>
  </si>
  <si>
    <t>20</t>
  </si>
  <si>
    <t>⚠️ 务必提前1个月在 museivaticani.va 官网买票！建议选13:30入场避开早高峰；租语音导览€8</t>
  </si>
  <si>
    <t>17:00-18:00</t>
  </si>
  <si>
    <t>⛪ 圣彼得大教堂</t>
  </si>
  <si>
    <t>免费</t>
  </si>
  <si>
    <t>免门票但需安检排队；登顶穹顶€10(步行)/€12(电梯)；着装需遮肩膝</t>
  </si>
  <si>
    <t>18:00-19:30</t>
  </si>
  <si>
    <t>🌅 圣天使堡看日落</t>
  </si>
  <si>
    <t>15</t>
  </si>
  <si>
    <t>城堡顶楼是罗马最佳日落观景点之一；路过圣天使桥拍照</t>
  </si>
  <si>
    <t>9/25
周四</t>
  </si>
  <si>
    <t>08:30-09:30</t>
  </si>
  <si>
    <t>🏛️ 万神殿</t>
  </si>
  <si>
    <t>5</t>
  </si>
  <si>
    <t>早上人少；门票€5现场可买；穹顶光柱非常震撼</t>
  </si>
  <si>
    <t>09:45-10:30</t>
  </si>
  <si>
    <t>⛲ 特雷维喷泉 (许愿池)</t>
  </si>
  <si>
    <t>早去避开人潮；记得背对喷泉投币许愿</t>
  </si>
  <si>
    <t>10:45-11:30</t>
  </si>
  <si>
    <t>🏛️ 威尼斯广场 (维托里亚诺)</t>
  </si>
  <si>
    <t>可登顶俯瞰罗马 (电梯€12)；内部有意大利统一博物馆</t>
  </si>
  <si>
    <t>12:00-13:30</t>
  </si>
  <si>
    <t>🍕 午餐 — 西班牙广场附近</t>
  </si>
  <si>
    <t>推荐: Pastificio Guerra (€4意面) 或 Ginger Sapori e Salute (轻食)</t>
  </si>
  <si>
    <t>13:30-14:30</t>
  </si>
  <si>
    <t>🛍️ 西班牙广场 + 破船喷泉</t>
  </si>
  <si>
    <t>西班牙台阶可坐但不可饮食；Via Condotti名品街可逛</t>
  </si>
  <si>
    <t>15:00-18:00</t>
  </si>
  <si>
    <t>🏟️ 古罗马斗兽场 + 古罗马广场 + 帕拉蒂尼山</t>
  </si>
  <si>
    <t>18</t>
  </si>
  <si>
    <t>⚠️ 提前在 coopculture.it 买联票 (€18含三处)；建议约15:00入场避开高峰；17:30最后入场</t>
  </si>
  <si>
    <t>19:00-20:30</t>
  </si>
  <si>
    <t>🍷 晚餐 — Trastevere 区</t>
  </si>
  <si>
    <t>25-30</t>
  </si>
  <si>
    <t>推荐: Da Enzo al 29 (地道罗马菜, 需排队) 或 Tonnarello (性价比高)</t>
  </si>
  <si>
    <t>9/26
周五</t>
  </si>
  <si>
    <t>08:00-09:37</t>
  </si>
  <si>
    <t>🚄 罗马 Termini → 佛罗伦萨 S.M.N.</t>
  </si>
  <si>
    <t>罗马→佛罗伦萨</t>
  </si>
  <si>
    <t>Ruby Bea Hotel Florence</t>
  </si>
  <si>
    <t>Frecciarossa高铁约1h37m；提前在 trenitalia.com 买票有折扣 (约€45×2=€90≈720CNY）；注意火车站小偷</t>
  </si>
  <si>
    <t>10:00-11:30</t>
  </si>
  <si>
    <t>🏨 酒店寄存行李 + 闲逛共和广场</t>
  </si>
  <si>
    <t>佛罗伦萨</t>
  </si>
  <si>
    <t>大部分酒店14:00后才能入住；先在市中心逛逛</t>
  </si>
  <si>
    <t>🥩 午餐 — 中央市场</t>
  </si>
  <si>
    <t>12-18</t>
  </si>
  <si>
    <t>推荐: Da Nerbone (牛肚包, Firenze必吃！) — Mercato Centrale二楼美食广场</t>
  </si>
  <si>
    <t>13:30-17:00</t>
  </si>
  <si>
    <t>🎨 乌菲兹美术馆</t>
  </si>
  <si>
    <t>25</t>
  </si>
  <si>
    <t>⚠️ 提前在 uffizi.it 买票！旺季排队2h+；波提切利《春》《维纳斯的诞生》必看</t>
  </si>
  <si>
    <t>17:30-19:00</t>
  </si>
  <si>
    <t>🌅 米开朗基罗广场看日落</t>
  </si>
  <si>
    <t>步行上山约20分钟(或乘12/13路公交)；佛罗伦萨最佳全景；带瓶啤酒等日落🌅</t>
  </si>
  <si>
    <t>9/27
周六</t>
  </si>
  <si>
    <t>08:00-09:30</t>
  </si>
  <si>
    <t>⛪ 圣母百花大教堂</t>
  </si>
  <si>
    <t>Proihof (多洛米蒂)</t>
  </si>
  <si>
    <t>教堂免费；穹顶登顶需提前预约(€20, 463级台阶)；Giotto钟楼€15</t>
  </si>
  <si>
    <t>10:00-14:00</t>
  </si>
  <si>
    <t>🚄 佛罗伦萨 → 维罗纳 Porta Nuova</t>
  </si>
  <si>
    <t>佛罗伦萨→维罗纳</t>
  </si>
  <si>
    <t>高铁约2h15m (€25×2=€50≈400CNY)；维罗纳火车站租车点就在站内(AVIS/Hertz/Sixt)</t>
  </si>
  <si>
    <t>14:30-17:30</t>
  </si>
  <si>
    <t>🚗 维罗纳取车 → 多洛米蒂 Val di Funes</t>
  </si>
  <si>
    <t>维罗纳→多洛米蒂</t>
  </si>
  <si>
    <t>车程约2h；⚠️ 需国际驾照翻译件；建议租自动挡SUV；加油：意大利用Benzina(汽油)/Diesel(柴油)</t>
  </si>
  <si>
    <t>18:00-</t>
  </si>
  <si>
    <t>🏨 入住 Proihof + 周边散步</t>
  </si>
  <si>
    <t>多洛米蒂</t>
  </si>
  <si>
    <t>Proihof 是农场民宿，主人常提供自制早餐；9月底日落约18:50；周边可拍圣玛格达莱纳教堂晚霞</t>
  </si>
  <si>
    <t>9/28
周日</t>
  </si>
  <si>
    <t>06:00-07:30</t>
  </si>
  <si>
    <t>📸 圣玛格达莱纳教堂日出</t>
  </si>
  <si>
    <t>Val di Funes</t>
  </si>
  <si>
    <t>Proihof</t>
  </si>
  <si>
    <t>经典机位：教堂+Odle群峰背景；日出约07:00；需清晨前往观景台 (步行10min)</t>
  </si>
  <si>
    <t>08:00-09:00</t>
  </si>
  <si>
    <t>📸 圣乔瓦尼教堂</t>
  </si>
  <si>
    <t>从Santa Maddalena步行15分钟可达；草地+小教堂+山景构图经典</t>
  </si>
  <si>
    <t>09:30-15:00</t>
  </si>
  <si>
    <t>🥾 Adolf Munkel Weg 徒步</t>
  </si>
  <si>
    <t>经典徒步路线，全程约9km/3-4h；海拔爬升400m；难度中级；带午餐和水；山下缆车站附近有停车场</t>
  </si>
  <si>
    <t>16:00-18:00</t>
  </si>
  <si>
    <t>🍺 休息 + 民宿晚餐</t>
  </si>
  <si>
    <t>20-30</t>
  </si>
  <si>
    <t>可选民宿晚餐(提前跟房东订)；或去周边小镇如Brixen/Bolzano觅食</t>
  </si>
  <si>
    <t>9/29
周一</t>
  </si>
  <si>
    <t>07:00-12:00</t>
  </si>
  <si>
    <t>🏔️ Lago di Braies (布莱埃斯湖)</t>
  </si>
  <si>
    <t>Braies</t>
  </si>
  <si>
    <t>⚠️旺季(7-9月)需提前在 braies.it 预约停车位 (€20)；淡季现场有位；绕湖徒步约1.5h；可租木船(€25/30min)</t>
  </si>
  <si>
    <t>🏔️ Tre Cime di Lavaredo (三峰山)</t>
  </si>
  <si>
    <t>Auronzo</t>
  </si>
  <si>
    <t>30</t>
  </si>
  <si>
    <t>车程约1h15m；过路费€30/车 (进Auronzo收费公路)；经典环线徒步10km/3-4h，风景绝美；海拔2300m+注意防晒</t>
  </si>
  <si>
    <t>🍽️ 晚餐 — Cortina d'Ampezzo</t>
  </si>
  <si>
    <t>Cortina</t>
  </si>
  <si>
    <t>25-35</t>
  </si>
  <si>
    <t>推荐: Ristorante Pizzeria Al Passetto (意面+披萨) 或 El Camineto (高档)</t>
  </si>
  <si>
    <t>9/30
周二</t>
  </si>
  <si>
    <t>🏔️ Seceda 刀锋山</t>
  </si>
  <si>
    <t>Ortisei</t>
  </si>
  <si>
    <t>Ortisei缆车往返约€40；山顶如刀削般的草坡是Dolomiti标志景观；山上Rifugio可午餐</t>
  </si>
  <si>
    <t>14:00-17:00</t>
  </si>
  <si>
    <t>🌿 Alpe di Siusi 休斯高原</t>
  </si>
  <si>
    <t>Siusi</t>
  </si>
  <si>
    <t>欧洲最大高山草甸；可乘缆车或自驾（部分时段限行）；适合轻松徒步/拍照</t>
  </si>
  <si>
    <t>🍽️ 告别晚餐 — 民宿或小镇</t>
  </si>
  <si>
    <t>推荐尝试当地Speck火腿+Canederli丸子；备好明天长途驾驶</t>
  </si>
  <si>
    <t>10/1
周三</t>
  </si>
  <si>
    <t>07:00-09:30</t>
  </si>
  <si>
    <t>🚗 多洛米蒂 → 维罗纳还车</t>
  </si>
  <si>
    <t>多洛米蒂→维罗纳</t>
  </si>
  <si>
    <t>Hotel Plaza Venice</t>
  </si>
  <si>
    <t>车程约2h；还车前加满油；检查车身拍照留底</t>
  </si>
  <si>
    <t>09:50-11:00</t>
  </si>
  <si>
    <t>🚄 维罗纳 → 威尼斯 S.Lucia</t>
  </si>
  <si>
    <t>维罗纳→威尼斯</t>
  </si>
  <si>
    <t>高铁约1h10m (€10×2=€20≈160CNY)；班次频繁，可现场买票</t>
  </si>
  <si>
    <t>11:00-12:00</t>
  </si>
  <si>
    <t>🛅 威尼斯 S.Lucia 火车站寄存行李</t>
  </si>
  <si>
    <t>威尼斯</t>
  </si>
  <si>
    <t>车站内 Kipoint 行李寄存 €5/件/天；不要去太远，酒店多在主岛</t>
  </si>
  <si>
    <t>12:00-17:00</t>
  </si>
  <si>
    <t>🚶 City Walk：里亚托桥 → 圣马可广场</t>
  </si>
  <si>
    <t>路线：火车站→里亚托桥(15min)→圣马可广场(15min)；沿途穿越小巷、过无数小桥；圣马可广场周边：钟楼(€12电梯)、叹息桥</t>
  </si>
  <si>
    <t>🛶 贡多拉体验</t>
  </si>
  <si>
    <t>80</t>
  </si>
  <si>
    <t>€80/船/30min (1-5人同价)；推荐圣马可广场附近或小巷河道出发；傍晚光线好但价可能略高</t>
  </si>
  <si>
    <t>18:30-20:30</t>
  </si>
  <si>
    <t>🦑 晚餐 — 威尼斯海鲜</t>
  </si>
  <si>
    <t>30-40</t>
  </si>
  <si>
    <t>推荐: Trattoria al Gatto Nero (Murano岛, 米其林推荐) 或 Osteria alle Testiere (需提前订)</t>
  </si>
  <si>
    <t>20:30-</t>
  </si>
  <si>
    <t>🌙 威尼斯夜景漫步</t>
  </si>
  <si>
    <t>夜晚游客散去后的威尼斯才是最美的；学院桥上看大运河夜景</t>
  </si>
  <si>
    <t>⚠️ 明早航班注意：</t>
  </si>
  <si>
    <t>提前确认明早去机场的交通：Alilaguna水上巴士(€15,1h+)、水上出租车(€100+,30min)、或巴士(€8,25min从Piazzale Roma出发)</t>
  </si>
  <si>
    <t>10/2
周四</t>
  </si>
  <si>
    <t>07:00-09:00</t>
  </si>
  <si>
    <t>🚤 前往威尼斯马可波罗机场 (VCE)</t>
  </si>
  <si>
    <t>Novotel Paris Vaugirard</t>
  </si>
  <si>
    <t>建议乘Alilaguna蓝线最早班次(约5:30从S.Marco出发)；或提前订水上出租车</t>
  </si>
  <si>
    <t>09:20-11:15</t>
  </si>
  <si>
    <t>✈️ 威尼斯 → 巴黎 (Orly/CDG)</t>
  </si>
  <si>
    <t>威尼斯→巴黎</t>
  </si>
  <si>
    <t>飞行约1h55m；EasyJet/Ryanair/Transavia等廉航约€80-150/人；⚠️注意行李额度</t>
  </si>
  <si>
    <t>巴黎</t>
  </si>
  <si>
    <t>提前确认酒店可寄存行李；购买地铁票或Navigo周卡</t>
  </si>
  <si>
    <t>14:00-16:00</t>
  </si>
  <si>
    <t>🌳 卢森堡公园</t>
  </si>
  <si>
    <t>巴黎最优雅的公园；可坐在卢森堡宫前绿色躺椅(需硬币租)感受巴黎生活</t>
  </si>
  <si>
    <t>16:30-18:00</t>
  </si>
  <si>
    <t>🚢 塞纳河游船</t>
  </si>
  <si>
    <t>推荐 Vedettes du Pont Neuf (€15) 或 Bateaux Mouches (€17)；黄昏班次光线最美</t>
  </si>
  <si>
    <t>18:30-20:00</t>
  </si>
  <si>
    <t>🗼 战神广场 → 埃菲尔铁塔</t>
  </si>
  <si>
    <t>战神广场草地是拍铁塔最佳机位；铁塔登顶需提前在 toureiffel.paris 买票 (€28电梯顶层)</t>
  </si>
  <si>
    <t>20:00-21:00</t>
  </si>
  <si>
    <t>🌃 夏乐宫平台夜景</t>
  </si>
  <si>
    <t>铁塔正对面，夜景绝佳拍摄点；整点铁塔有5分钟闪灯✨</t>
  </si>
  <si>
    <t>10/3
周五</t>
  </si>
  <si>
    <t>08:30-09:00</t>
  </si>
  <si>
    <t>🥐 早餐 — 推荐 Du Pain et des Idées</t>
  </si>
  <si>
    <t>5-8</t>
  </si>
  <si>
    <t>巴黎最佳可颂之一；地址 34 rue Yves Toudic；周一至周五7:00开门</t>
  </si>
  <si>
    <t>09:00-13:00</t>
  </si>
  <si>
    <t>🎨 卢浮宫</t>
  </si>
  <si>
    <t>22</t>
  </si>
  <si>
    <t>⚠️ 必须提前在 ticketlouvre.fr 买票！周二闭馆；从玻璃金字塔入口进；必看: 蒙娜丽莎/胜利女神/维纳斯/自由引导人民；建议3-4h</t>
  </si>
  <si>
    <t>13:00-14:00</t>
  </si>
  <si>
    <t>🥗 午餐 — 杜乐丽花园附近</t>
  </si>
  <si>
    <t>推荐: Carrette (可丽饼) 或在杜乐丽花园内的露天咖啡座</t>
  </si>
  <si>
    <t>14:00-15:30</t>
  </si>
  <si>
    <t>🖼️ 橘园美术馆 (Musée de l'Orangerie)</t>
  </si>
  <si>
    <t>12.5</t>
  </si>
  <si>
    <t>就在杜乐丽花园内，卢浮宫步行3分钟；莫奈巨幅睡莲厅必看；馆小约1-1.5h足够</t>
  </si>
  <si>
    <t>16:00-20:00</t>
  </si>
  <si>
    <t>🎭 蒙马特高地 + 圣心大教堂 + 小丘广场</t>
  </si>
  <si>
    <t>地铁2号线Anvers站；步行或缆车(€2)上山；圣心堂免费进入；小丘广场看画家作画；推荐: 爱墙(Le Mur des Je t'aime)</t>
  </si>
  <si>
    <t>10/4
周六</t>
  </si>
  <si>
    <t>07:30-08:30</t>
  </si>
  <si>
    <t>🚂 RER C 前往凡尔赛宫</t>
  </si>
  <si>
    <t>巴黎→凡尔赛</t>
  </si>
  <si>
    <t>RER C线 Versailles Château Rive Gauche站；车程约40min；往返€7.3；⚠️务必早到，排队人极多</t>
  </si>
  <si>
    <t>👑 凡尔赛宫 + 花园</t>
  </si>
  <si>
    <t>凡尔赛</t>
  </si>
  <si>
    <t>21</t>
  </si>
  <si>
    <t>⚠️提前在 chateauversailles.fr 买票；选最早入场时段(9:00)；镜厅必看；花园免费(音乐喷泉日除外)</t>
  </si>
  <si>
    <t>13:00-14:30</t>
  </si>
  <si>
    <t>🚂 返回巴黎 + 午餐</t>
  </si>
  <si>
    <t>凡尔赛→巴黎</t>
  </si>
  <si>
    <t>15:00-17:00</t>
  </si>
  <si>
    <t>🖼️ 奥赛博物馆 (Musée d'Orsay)</t>
  </si>
  <si>
    <t>16</t>
  </si>
  <si>
    <t>原火车站改建，本身就是艺术品；印象派收藏全球最大；梵高/莫奈/雷诺阿/德加；5楼钟楼大窗必拍</t>
  </si>
  <si>
    <t>17:30-18:30</t>
  </si>
  <si>
    <t>🏛️ 巴黎歌剧院 (Opéra Garnier)</t>
  </si>
  <si>
    <t>14</t>
  </si>
  <si>
    <t>内部金碧辉煌；夏加尔天顶画；可只参观不观演</t>
  </si>
  <si>
    <t>🛍️ 老佛爷百货 + 晚餐</t>
  </si>
  <si>
    <t>穹顶大厅本身是景点(免费)；顶楼天台可远眺铁塔+歌剧院</t>
  </si>
  <si>
    <t>10/5
周日</t>
  </si>
  <si>
    <t>08:00-08:30</t>
  </si>
  <si>
    <t>🚕 前往巴黎戴高乐机场 (CDG)</t>
  </si>
  <si>
    <t>建议乘RER B线(€11.4, 约40min)或提前订送机车(约€50)；提前3h到机场办退税</t>
  </si>
  <si>
    <t>11:15</t>
  </si>
  <si>
    <t>✈️ 巴黎 → 深圳</t>
  </si>
  <si>
    <t>巴黎→深圳</t>
  </si>
  <si>
    <t>飞行约12h；提前办好离境退税(老佛爷等商场可现场退税)；机场免税店可补货</t>
  </si>
  <si>
    <t>类别</t>
  </si>
  <si>
    <t>项目</t>
  </si>
  <si>
    <t>预估费用 (CNY)</t>
  </si>
  <si>
    <t>备注</t>
  </si>
  <si>
    <t>✈️ 国际机票</t>
  </si>
  <si>
    <t>深圳⇌罗马 / 巴黎→深圳 (2人往返)</t>
  </si>
  <si>
    <t>已含两段国际航班</t>
  </si>
  <si>
    <t>威尼斯→巴黎 (廉航, 2人)</t>
  </si>
  <si>
    <t>EasyJet/Transavia 含1件手提行李</t>
  </si>
  <si>
    <t>🚄 城际火车</t>
  </si>
  <si>
    <t>罗马→佛罗伦萨 (Frecciarossa)</t>
  </si>
  <si>
    <t>约€45/人, 提前买有折扣</t>
  </si>
  <si>
    <t>约€25/人</t>
  </si>
  <si>
    <t>约€10/人</t>
  </si>
  <si>
    <t>🚗 租车</t>
  </si>
  <si>
    <t>多洛米蒂4天 (含保险+油费+过路费)</t>
  </si>
  <si>
    <t>€60/天×4天+油费€100+高速费€30</t>
  </si>
  <si>
    <t>🚇 市内交通</t>
  </si>
  <si>
    <t>罗马/佛罗伦萨/威尼斯/巴黎 地铁+巴士</t>
  </si>
  <si>
    <t>巴黎Navigo周卡€30；威尼斯水上巴士</t>
  </si>
  <si>
    <t>🏨 住宿</t>
  </si>
  <si>
    <t>罗马 Mama Shelter Roma ×2晚</t>
  </si>
  <si>
    <t>含早餐?</t>
  </si>
  <si>
    <t>佛罗伦萨 Ruby Bea Hotel ×1晚</t>
  </si>
  <si>
    <t/>
  </si>
  <si>
    <t>多洛米蒂 Proihof ×4晚</t>
  </si>
  <si>
    <t>民宿含早餐</t>
  </si>
  <si>
    <t>威尼斯 Hotel Plaza Venice ×1晚</t>
  </si>
  <si>
    <t>巴黎 Novotel Vaugirard ×3晚</t>
  </si>
  <si>
    <t>🎫 门票</t>
  </si>
  <si>
    <t>所有景点门票 (2人合计)</t>
  </si>
  <si>
    <t>详见备注；部分需提前预约</t>
  </si>
  <si>
    <t>🍽️ 餐饮</t>
  </si>
  <si>
    <t>12天 × €40/人/天 × 2人</t>
  </si>
  <si>
    <t>含正餐+零食饮品；可根据实际调整</t>
  </si>
  <si>
    <t>📱 其他</t>
  </si>
  <si>
    <t>SIM卡 (2张)</t>
  </si>
  <si>
    <t>意大利用 TIM/Vodafone；法国也通用</t>
  </si>
  <si>
    <t>旅行保险 (2人)</t>
  </si>
  <si>
    <t>强烈建议含医疗+取消险</t>
  </si>
  <si>
    <t>纪念品/购物</t>
  </si>
  <si>
    <t>弹性预算</t>
  </si>
  <si>
    <t>💰 预估总费用</t>
  </si>
  <si>
    <t>2人合计</t>
  </si>
  <si>
    <t>≈ {(total / 2):.0f} CNY/人 ≈ €{total / eur_cny:.0f}/2人</t>
  </si>
  <si>
    <t>物品/事项</t>
  </si>
  <si>
    <t>状态</t>
  </si>
  <si>
    <t>📋 证件</t>
  </si>
  <si>
    <t>护照 (有效期&gt;6个月)</t>
  </si>
  <si>
    <t>☐</t>
  </si>
  <si>
    <t>检查出发日2026/9/24 → 有效期需至2027/3/24之后</t>
  </si>
  <si>
    <t>申根签证</t>
  </si>
  <si>
    <t>提前3个月办理 (2026年6月起可申请)；需行程单+酒店预订单+保险</t>
  </si>
  <si>
    <t>国际驾照翻译件 (IDP/翻译公证)</t>
  </si>
  <si>
    <t>租车必备！支付宝/租租车可办翻译件(免费)；配合中国驾照原件使用</t>
  </si>
  <si>
    <t>身份证 (国内段)</t>
  </si>
  <si>
    <t>国内机场/高铁使用</t>
  </si>
  <si>
    <t>护照复印件/电子版</t>
  </si>
  <si>
    <t>云盘+手机各存一份；与护照分开放</t>
  </si>
  <si>
    <t>机票/酒店/火车票预订单 (打印+电子)</t>
  </si>
  <si>
    <t>入境可能查验；手机离线保存</t>
  </si>
  <si>
    <t>旅行保险单</t>
  </si>
  <si>
    <t>💰 财务</t>
  </si>
  <si>
    <t>欧元现金 (建议€800-1000/人)</t>
  </si>
  <si>
    <t>意大利/法国部分小店不接受卡；国内银行提前预约换汇</t>
  </si>
  <si>
    <t>Visa/Mastercard 信用卡 (至少2张)</t>
  </si>
  <si>
    <t>带芯片的卡；通知银行出国计划避免锁卡</t>
  </si>
  <si>
    <t>支付宝/微信支付 (备用)</t>
  </si>
  <si>
    <t>巴黎老佛爷等大商场支持</t>
  </si>
  <si>
    <t>零钱包</t>
  </si>
  <si>
    <t>欧元硬币多，随身带硬币包装满</t>
  </si>
  <si>
    <t>📱 手机/网络</t>
  </si>
  <si>
    <t>欧洲SIM卡 / eSIM (提前买)</t>
  </si>
  <si>
    <t>推荐: 淘宝欧洲多国卡, 或落地后买TIM/Vodafone；也可用Airalo eSIM</t>
  </si>
  <si>
    <t>充电宝 (20000mAh以内)</t>
  </si>
  <si>
    <t>飞机随身不可托运；有明确容量标识</t>
  </si>
  <si>
    <t>转换插头 (意标L型 + 欧标C型)</t>
  </si>
  <si>
    <t>意大利用L型三脚细插头；法国用C型两脚圆插头；带一个万能转换器最佳</t>
  </si>
  <si>
    <t>充电线+插头 (多口USB)</t>
  </si>
  <si>
    <t>至少2根线(防丢失)；多口插头可同时充多设备</t>
  </si>
  <si>
    <t>🧥 衣物 (9月底-10月初)</t>
  </si>
  <si>
    <t>薄羽绒/冲锋衣内胆</t>
  </si>
  <si>
    <t>多洛米蒂山区9月底可能0-10°C，必须带保暖层!</t>
  </si>
  <si>
    <t>冲锋衣 (防风防水)</t>
  </si>
  <si>
    <t>山区天气多变，防雨防风</t>
  </si>
  <si>
    <t>长袖T恤 ×4-5</t>
  </si>
  <si>
    <t>叠穿法：内层速干+中层保暖+外层防风</t>
  </si>
  <si>
    <t>长裤 ×2-3</t>
  </si>
  <si>
    <t>徒步裤+休闲裤</t>
  </si>
  <si>
    <t>舒适运动鞋/徒步鞋</t>
  </si>
  <si>
    <t>多洛米蒂徒步必备；鞋底防滑</t>
  </si>
  <si>
    <t>薄外套/开衫 (城市用)</t>
  </si>
  <si>
    <t>罗马/佛罗伦萨9月底约15-25°C</t>
  </si>
  <si>
    <t>遮阳帽 + 墨镜</t>
  </si>
  <si>
    <t>徒步防晒+城市凹造型</t>
  </si>
  <si>
    <t>🥾 徒步装备</t>
  </si>
  <si>
    <t>登山杖</t>
  </si>
  <si>
    <t>多洛米蒂徒步强烈建议；可折叠款放行李箱；也可当地租</t>
  </si>
  <si>
    <t>小背包 (20-30L)</t>
  </si>
  <si>
    <t>徒步日用；放水/午餐/外套</t>
  </si>
  <si>
    <t>水壶/保温杯</t>
  </si>
  <si>
    <t>山区Rifugio可接水</t>
  </si>
  <si>
    <t>防晒霜 (SPF50+)</t>
  </si>
  <si>
    <t>高海拔紫外线强</t>
  </si>
  <si>
    <t>💊 药品</t>
  </si>
  <si>
    <t>常用药 (感冒/止痛/止泻/过敏)</t>
  </si>
  <si>
    <t>带原包装+英文说明书</t>
  </si>
  <si>
    <t>创可贴 + 水泡贴</t>
  </si>
  <si>
    <t>徒步磨损必备</t>
  </si>
  <si>
    <t>个人处方药</t>
  </si>
  <si>
    <t>带医生处方翻译件</t>
  </si>
  <si>
    <t>晕车药</t>
  </si>
  <si>
    <t>多洛米蒂山路弯多</t>
  </si>
  <si>
    <t>📲 APP</t>
  </si>
  <si>
    <t>Google Maps (离线地图)</t>
  </si>
  <si>
    <t>提前下载罗马/佛罗伦萨/多洛米蒂/威尼斯/巴黎离线地图</t>
  </si>
  <si>
    <t>Trenitalia / Italo (意大利火车)</t>
  </si>
  <si>
    <t>查时刻+买票</t>
  </si>
  <si>
    <t>Google Translate (离线语言包)</t>
  </si>
  <si>
    <t>下载意大利语+法语离线包</t>
  </si>
  <si>
    <t>WhatsApp</t>
  </si>
  <si>
    <t>欧洲通用；联系酒店/房东</t>
  </si>
  <si>
    <t>Booking.com / Airbnb</t>
  </si>
  <si>
    <t>管理酒店预订</t>
  </si>
  <si>
    <t>Komoot / AllTrails (徒步导航)</t>
  </si>
  <si>
    <t>多洛米蒂徒步路线导航；可离线使用</t>
  </si>
  <si>
    <t>城市</t>
  </si>
  <si>
    <t>餐厅名</t>
  </si>
  <si>
    <t>类型</t>
  </si>
  <si>
    <t>人均 (EUR)</t>
  </si>
  <si>
    <t>推荐菜</t>
  </si>
  <si>
    <t>Trattoria Da Enzo al 29</t>
  </si>
  <si>
    <t>传统罗马菜</t>
  </si>
  <si>
    <t>Carbonara, Cacio e Pepe, Carciofi alla Giudia</t>
  </si>
  <si>
    <t>Trastevere区米其林必比登；人气极高需排队(17:30前去)；周二休</t>
  </si>
  <si>
    <t>Pizzarium (Bonci)</t>
  </si>
  <si>
    <t>披萨/街头小吃</t>
  </si>
  <si>
    <t>8-12</t>
  </si>
  <si>
    <t>Taglio披萨(按重量卖), Supplì(炸饭团)</t>
  </si>
  <si>
    <t>梵蒂冈附近；罗马最好的街头披萨；站着吃；周日休</t>
  </si>
  <si>
    <t>Roscioli Salumeria con Cucina</t>
  </si>
  <si>
    <t>熟食店+餐厅</t>
  </si>
  <si>
    <t>40-50</t>
  </si>
  <si>
    <t>Carbonara(罗马最佳之一), Burrata, 腌肉拼盘</t>
  </si>
  <si>
    <t>近Campo de' Fiori；可提前在官网预订；周日休</t>
  </si>
  <si>
    <t>Gelateria La Romana</t>
  </si>
  <si>
    <t>Gelato</t>
  </si>
  <si>
    <t>3-5</t>
  </si>
  <si>
    <t>Pistacchio, Crema dal 1947, Stracciatella</t>
  </si>
  <si>
    <t>连锁店品质稳定；点最小杯可以选2种口味</t>
  </si>
  <si>
    <t>Tonnarello</t>
  </si>
  <si>
    <t>家庭式意面</t>
  </si>
  <si>
    <t>15-25</t>
  </si>
  <si>
    <t>Amatriciana, Cacio e Pepe, 肉丸</t>
  </si>
  <si>
    <t>Trastevere区；性价比极高；份量大；排队较长但翻台快</t>
  </si>
  <si>
    <t>Da Nerbone (中央市场)</t>
  </si>
  <si>
    <t>托斯卡纳小吃</t>
  </si>
  <si>
    <t>Lampredotto(牛肚包), Bollito(牛肉包)</t>
  </si>
  <si>
    <t>中央市场一楼；周一至周六9:30-14:30；佛罗伦萨必吃！</t>
  </si>
  <si>
    <t>All'Antico Vinaio</t>
  </si>
  <si>
    <t>三明治</t>
  </si>
  <si>
    <t>7-10</t>
  </si>
  <si>
    <t>La Favolosa, La Inferno</t>
  </si>
  <si>
    <t>佛罗伦萨最火三明治店；Via dei Neri总店永远排队；分量超大可两人分</t>
  </si>
  <si>
    <t>Trattoria ZaZa</t>
  </si>
  <si>
    <t>托斯卡纳菜</t>
  </si>
  <si>
    <t>Bistecca alla Fiorentina(T骨牛排), 松露意面</t>
  </si>
  <si>
    <t>中央市场旁；环境有特色；牛排按重量计价(约€50/kg)</t>
  </si>
  <si>
    <t>Gelateria La Carraia</t>
  </si>
  <si>
    <t>Nocciola, Cioccolato Fondente, Ricotta e Fichi</t>
  </si>
  <si>
    <t>阿诺河畔；佛罗伦萨评分最高Gelato；性价比高</t>
  </si>
  <si>
    <t>Rifugio Malga S. Silvestro</t>
  </si>
  <si>
    <t>山间木屋</t>
  </si>
  <si>
    <t>Speck火腿拼盘, Canederli(面包丸), 苹果卷</t>
  </si>
  <si>
    <t>Val di Funes附近；高山木屋体验；食材多来自自家农场</t>
  </si>
  <si>
    <t>Ristorante Pizzeria Al Passetto</t>
  </si>
  <si>
    <t>意面+披萨</t>
  </si>
  <si>
    <t>Pizza, Pasta alle Vongole</t>
  </si>
  <si>
    <t>Cortina d'Ampezzo镇上；适合徒步后补充碳水</t>
  </si>
  <si>
    <t>Rifugio Comici (Seceda)</t>
  </si>
  <si>
    <t>山顶木屋</t>
  </si>
  <si>
    <t>炖牛肉, Polenta(玉米糊), 热巧克力</t>
  </si>
  <si>
    <t>Seceda山顶；风景绝佳；午餐时段人多</t>
  </si>
  <si>
    <t>Osteria alle Testiere</t>
  </si>
  <si>
    <t>海鲜</t>
  </si>
  <si>
    <t>烤扇贝, 墨鱼面, 当日渔获</t>
  </si>
  <si>
    <t>仅10桌，务必提前1-2周邮件预订；周日周一休；威尼斯最佳海鲜小馆</t>
  </si>
  <si>
    <t>Cantina Do Spade</t>
  </si>
  <si>
    <t>Cicchetti</t>
  </si>
  <si>
    <t>Polpette(炸肉丸), Baccalà(鳕鱼泥), Sarde in Saor</t>
  </si>
  <si>
    <t>近里亚托桥；威尼斯小食Cicchetti体验；18:00前到有位置</t>
  </si>
  <si>
    <t>Suso Gelatoteca</t>
  </si>
  <si>
    <t>3-6</t>
  </si>
  <si>
    <t>Opera(坚果+无花果), Crema di Suso, 开心果</t>
  </si>
  <si>
    <t>威尼斯最佳Gelato；里亚托桥附近；建议选甜筒</t>
  </si>
  <si>
    <t>Bouillon Chartier</t>
  </si>
  <si>
    <t>传统法餐</t>
  </si>
  <si>
    <t>蜗牛, 油封鸭, 鹅肝, 焦糖布丁</t>
  </si>
  <si>
    <t>百年老店；不接受预约需排队(错峰去)；性价比极高；1896年开业的法餐食堂</t>
  </si>
  <si>
    <t>Du Pain et des Idées</t>
  </si>
  <si>
    <t>面包房</t>
  </si>
  <si>
    <t>5-10</t>
  </si>
  <si>
    <t>Escargot(蜗牛卷酥皮), Croissant, Pain des Amis</t>
  </si>
  <si>
    <t>巴黎最佳面包房之一；周一至周五7:00-20:00；周末休!</t>
  </si>
  <si>
    <t>L'As du Fallafel</t>
  </si>
  <si>
    <t>中东/街头</t>
  </si>
  <si>
    <t>10-15</t>
  </si>
  <si>
    <t>Falafel Pita, Shawarma</t>
  </si>
  <si>
    <t>玛黑区；巴黎最有名Falafel；外带边走边吃最佳；周六日排队</t>
  </si>
  <si>
    <t>Breizh Café</t>
  </si>
  <si>
    <t>可丽饼</t>
  </si>
  <si>
    <t>15-22</t>
  </si>
  <si>
    <t>Galette Complète(咸), Crêpe Caramel Beurre Salé(甜)</t>
  </si>
  <si>
    <t>玛黑区；布列塔尼风格；咸甜可丽饼都出色；建议预约</t>
  </si>
  <si>
    <t>Cédric Grolet Opéra</t>
  </si>
  <si>
    <t>甜品</t>
  </si>
  <si>
    <t>10-18</t>
  </si>
  <si>
    <t>水果造型慕斯蛋糕, 可颂</t>
  </si>
  <si>
    <t>巴黎歌剧院附近；Ins网红甜品师；排队1h+；价格较高但视觉震撼</t>
  </si>
  <si>
    <t>主题</t>
  </si>
  <si>
    <t>内容</t>
  </si>
  <si>
    <t>🎫 门票预约提醒</t>
  </si>
  <si>
    <t>⚠️ 以下景点强烈建议提前1个月买票，否则可能售罄或排队2-3小时：
• 梵蒂冈博物馆 — museivaticani.va (提前60天开放)
• 乌菲兹美术馆 — uffizi.it (提前60天)
• 卢浮宫 — ticketlouvre.fr (提前60天)
• 凡尔赛宫 — chateauversailles.fr
• 斗兽场 — coopculture.it (提前30天，放票时间不定)
• Lago di Braies停车 — braies.it (旺季必须预约)
• 埃菲尔铁塔登顶 — toureiffel.paris (提前60天，秒没)</t>
  </si>
  <si>
    <t>🏔️ 多洛米蒂天气</t>
  </si>
  <si>
    <t>9月底-10月初是多洛米蒂夏秋交替：
• 白天: 10-18°C，晴天舒适；夜晚: 0-8°C，可能霜冻
• 山区天气多变：早晴午雨是常态；每天出发前查当地预报
• 备选方案（雨天）：Bolzano冰人博物馆、Merano温泉、酒庄品酒
• 部分缆车10月初开始停运检修 — 提前确认运营日期 (seceda.it, dolomitisuperski.com)
• 徒步必备：防风防水冲锋衣、保暖中层、防水徒步鞋</t>
  </si>
  <si>
    <t>🚗 租车须知</t>
  </si>
  <si>
    <t>• 中国驾照 + 国际驾照翻译件(租租车/支付宝免费办)即可提车
• 建议租自动挡SUV (手动挡便宜但山路换挡累)
• ⚠️ 意大利高速限速130km/h；多洛米蒂山路限速50-90km/h
• 加油：自助站比人工站便宜；柴油车确认是Diesel不是Benzina
• ZTL(限行区)：多洛米蒂小镇一般没有；但维罗纳/佛罗伦萨市区有，勿驶入！
• 停车：多洛米蒂民宿一般免费停车</t>
  </si>
  <si>
    <t>🛅 行李寄存</t>
  </si>
  <si>
    <t>• 威尼斯 S.Lucia 车站 — Kipoint 行李寄存 €5/件/天 (6:00-23:00)
• 罗马 Termini 车站 — 寄存 €6/件/前5h (6:00-23:00)
• 佛罗伦萨 S.M.N. 车站 — 寄存 €6/件/天
• 巴黎 Gare de Lyon — 寄存 €5.5-9.5/件/天
• 大部分酒店退房后可免费寄存当天</t>
  </si>
  <si>
    <t>🚇 巴黎交通</t>
  </si>
  <si>
    <t>• Navigo Easy卡 (充值卡): 单程€2.15，适合短期
• Navigo Semaine 周卡: €30/周 (周一-周日)，机场到市区RER可用，超值！
  — 但只能周一至周日自然周使用；需贴1寸照片
• RER C → 凡尔赛宫 (Versailles Château Rive Gauche站)
• RER B → 戴高乐机场 (Aéroport Charles de Gaulle站)
• ⚠️ 地铁上注意小偷，手机不要拿在靠门一侧</t>
  </si>
  <si>
    <t>💰 退税指南</t>
  </si>
  <si>
    <t>• 意大利：单店€155+可退税12-13%；法国：单店€100+可退税12%
• 购物时带护照，店员当场打退税单
• 离境前在机场用Pablo自助机扫描退税单(电子验证)或海关盖章
• 退信用卡(到账慢但汇率好) / 退现金(即时但汇率差+手续费)
• 老佛爷等大商场可在商场内当场退现金(需信用卡担保)</t>
  </si>
  <si>
    <t>🔒 安全提示</t>
  </si>
  <si>
    <t>• 罗马/巴黎地铁上注意防小偷：背包背前面，手机不放后口袋
• 警惕 '免费' 手绳/玫瑰/签名请愿 — 都是诈骗
• 火车站周边夜间注意安全
• 多洛米蒂和威尼斯相对安全
• 护照和多余现金放酒店保险箱；只带当天所需现金出门
• 意大利/法国报警电话: 112 (通用紧急)</t>
  </si>
  <si>
    <t>📅 最佳时间安排建议</t>
  </si>
  <si>
    <t>• 梵蒂冈: 选周三(教皇公开接见) 或 选下午时段避开上午团客
• 斗兽场: 选15:00后入场，光线好+人较少
• 卢浮宫: 选周三/周五晚场(21:45闭馆)，人少体验好
• 凡尔赛宫: 选最早9:00入场，避开10:00-14:00高峰
• 多洛米蒂徒步: 早晨6-8点出发最佳，下午常有阵雨
• 9/25刚好是罗马的周四 — 部分教堂可能有特殊弥撒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</si>
</sst>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name val="Microsoft YaHei"/>
      <charset val="134"/>
    </font>
    <font>
      <sz val="14"/>
      <name val="Microsoft YaHei"/>
      <charset val="134"/>
    </font>
    <font>
      <b/>
      <sz val="12"/>
      <color rgb="FFC0392B"/>
      <name val="Microsoft YaHei"/>
      <charset val="134"/>
    </font>
    <font>
      <b/>
      <sz val="12"/>
      <name val="Microsoft YaHei"/>
      <charset val="134"/>
    </font>
    <font>
      <b/>
      <sz val="14"/>
      <color rgb="FFC0392B"/>
      <name val="Microsoft YaHei"/>
      <charset val="134"/>
    </font>
    <font>
      <sz val="10"/>
      <name val="Microsoft YaHei"/>
      <charset val="134"/>
    </font>
    <font>
      <b/>
      <sz val="10"/>
      <color rgb="FFC0392B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D5F5E3"/>
        <bgColor rgb="FFD5F5E3"/>
      </patternFill>
    </fill>
    <fill>
      <patternFill patternType="solid">
        <fgColor rgb="FFF4F6F7"/>
        <bgColor rgb="FFF4F6F7"/>
      </patternFill>
    </fill>
    <fill>
      <patternFill patternType="solid">
        <fgColor rgb="FFFEF9E7"/>
        <bgColor rgb="FFFEF9E7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/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pane ySplit="1" topLeftCell="A2" activePane="bottomLeft" state="frozen"/>
      <selection/>
      <selection pane="bottomLeft" activeCell="F69" sqref="F69"/>
    </sheetView>
  </sheetViews>
  <sheetFormatPr defaultColWidth="9" defaultRowHeight="16.8"/>
  <cols>
    <col min="1" max="1" width="10" customWidth="1"/>
    <col min="2" max="2" width="16" customWidth="1"/>
    <col min="3" max="3" width="38" customWidth="1"/>
    <col min="4" max="4" width="16" customWidth="1"/>
    <col min="5" max="5" width="22" customWidth="1"/>
    <col min="6" max="8" width="13" customWidth="1"/>
    <col min="9" max="9" width="50" customWidth="1"/>
  </cols>
  <sheetData>
    <row r="1" ht="3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4" spans="1:9">
      <c r="A2" s="1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19">
        <v>11116</v>
      </c>
      <c r="G2" s="19">
        <v>1788</v>
      </c>
      <c r="H2" s="4"/>
      <c r="I2" s="4" t="s">
        <v>14</v>
      </c>
    </row>
    <row r="3" ht="17" spans="1:9">
      <c r="A3" s="13"/>
      <c r="B3" s="3" t="s">
        <v>15</v>
      </c>
      <c r="C3" s="3" t="s">
        <v>16</v>
      </c>
      <c r="D3" s="3" t="s">
        <v>17</v>
      </c>
      <c r="E3" s="3"/>
      <c r="F3" s="3"/>
      <c r="G3" s="3"/>
      <c r="H3" s="3"/>
      <c r="I3" s="3" t="s">
        <v>18</v>
      </c>
    </row>
    <row r="4" ht="34" spans="1:9">
      <c r="A4" s="13"/>
      <c r="B4" s="4" t="s">
        <v>19</v>
      </c>
      <c r="C4" s="4" t="s">
        <v>20</v>
      </c>
      <c r="D4" s="4" t="s">
        <v>21</v>
      </c>
      <c r="E4" s="4"/>
      <c r="F4" s="4"/>
      <c r="G4" s="4"/>
      <c r="H4" s="19" t="s">
        <v>22</v>
      </c>
      <c r="I4" s="4" t="s">
        <v>23</v>
      </c>
    </row>
    <row r="5" ht="34" spans="1:9">
      <c r="A5" s="13"/>
      <c r="B5" s="3" t="s">
        <v>24</v>
      </c>
      <c r="C5" s="3" t="s">
        <v>25</v>
      </c>
      <c r="D5" s="3" t="s">
        <v>26</v>
      </c>
      <c r="E5" s="3"/>
      <c r="F5" s="3"/>
      <c r="G5" s="3"/>
      <c r="H5" s="20" t="s">
        <v>27</v>
      </c>
      <c r="I5" s="3" t="s">
        <v>28</v>
      </c>
    </row>
    <row r="6" ht="34" spans="1:9">
      <c r="A6" s="13"/>
      <c r="B6" s="4" t="s">
        <v>29</v>
      </c>
      <c r="C6" s="4" t="s">
        <v>30</v>
      </c>
      <c r="D6" s="4" t="s">
        <v>26</v>
      </c>
      <c r="E6" s="4"/>
      <c r="F6" s="4"/>
      <c r="G6" s="4"/>
      <c r="H6" s="19" t="s">
        <v>31</v>
      </c>
      <c r="I6" s="4" t="s">
        <v>32</v>
      </c>
    </row>
    <row r="7" ht="34" spans="1:9">
      <c r="A7" s="13"/>
      <c r="B7" s="3" t="s">
        <v>33</v>
      </c>
      <c r="C7" s="3" t="s">
        <v>34</v>
      </c>
      <c r="D7" s="3" t="s">
        <v>17</v>
      </c>
      <c r="E7" s="3"/>
      <c r="F7" s="3"/>
      <c r="G7" s="3"/>
      <c r="H7" s="20" t="s">
        <v>35</v>
      </c>
      <c r="I7" s="3" t="s">
        <v>36</v>
      </c>
    </row>
    <row r="8" ht="17" spans="1:9">
      <c r="A8" s="13" t="s">
        <v>37</v>
      </c>
      <c r="B8" s="4" t="s">
        <v>38</v>
      </c>
      <c r="C8" s="4" t="s">
        <v>39</v>
      </c>
      <c r="D8" s="4" t="s">
        <v>17</v>
      </c>
      <c r="E8" s="4" t="s">
        <v>13</v>
      </c>
      <c r="F8" s="4"/>
      <c r="G8" s="19">
        <v>1788</v>
      </c>
      <c r="H8" s="19" t="s">
        <v>40</v>
      </c>
      <c r="I8" s="4" t="s">
        <v>41</v>
      </c>
    </row>
    <row r="9" ht="17" spans="1:9">
      <c r="A9" s="13"/>
      <c r="B9" s="3" t="s">
        <v>42</v>
      </c>
      <c r="C9" s="3" t="s">
        <v>43</v>
      </c>
      <c r="D9" s="3" t="s">
        <v>17</v>
      </c>
      <c r="E9" s="3"/>
      <c r="F9" s="3"/>
      <c r="G9" s="3"/>
      <c r="H9" s="20" t="s">
        <v>31</v>
      </c>
      <c r="I9" s="3" t="s">
        <v>44</v>
      </c>
    </row>
    <row r="10" ht="34" spans="1:9">
      <c r="A10" s="13"/>
      <c r="B10" s="4" t="s">
        <v>45</v>
      </c>
      <c r="C10" s="4" t="s">
        <v>46</v>
      </c>
      <c r="D10" s="4" t="s">
        <v>17</v>
      </c>
      <c r="E10" s="4"/>
      <c r="F10" s="4"/>
      <c r="G10" s="4"/>
      <c r="H10" s="19" t="s">
        <v>31</v>
      </c>
      <c r="I10" s="4" t="s">
        <v>47</v>
      </c>
    </row>
    <row r="11" ht="34" spans="1:9">
      <c r="A11" s="13"/>
      <c r="B11" s="3" t="s">
        <v>48</v>
      </c>
      <c r="C11" s="3" t="s">
        <v>49</v>
      </c>
      <c r="D11" s="3" t="s">
        <v>17</v>
      </c>
      <c r="E11" s="3"/>
      <c r="F11" s="3"/>
      <c r="G11" s="3"/>
      <c r="H11" s="20" t="s">
        <v>22</v>
      </c>
      <c r="I11" s="3" t="s">
        <v>50</v>
      </c>
    </row>
    <row r="12" ht="34" spans="1:9">
      <c r="A12" s="13"/>
      <c r="B12" s="4" t="s">
        <v>51</v>
      </c>
      <c r="C12" s="4" t="s">
        <v>52</v>
      </c>
      <c r="D12" s="4" t="s">
        <v>17</v>
      </c>
      <c r="E12" s="4"/>
      <c r="F12" s="4"/>
      <c r="G12" s="4"/>
      <c r="H12" s="19" t="s">
        <v>31</v>
      </c>
      <c r="I12" s="4" t="s">
        <v>53</v>
      </c>
    </row>
    <row r="13" ht="34" spans="1:9">
      <c r="A13" s="13"/>
      <c r="B13" s="3" t="s">
        <v>54</v>
      </c>
      <c r="C13" s="3" t="s">
        <v>55</v>
      </c>
      <c r="D13" s="3" t="s">
        <v>17</v>
      </c>
      <c r="E13" s="3"/>
      <c r="F13" s="3"/>
      <c r="G13" s="3"/>
      <c r="H13" s="20" t="s">
        <v>56</v>
      </c>
      <c r="I13" s="3" t="s">
        <v>57</v>
      </c>
    </row>
    <row r="14" ht="34" spans="1:9">
      <c r="A14" s="13"/>
      <c r="B14" s="4" t="s">
        <v>58</v>
      </c>
      <c r="C14" s="4" t="s">
        <v>59</v>
      </c>
      <c r="D14" s="4" t="s">
        <v>17</v>
      </c>
      <c r="E14" s="4"/>
      <c r="F14" s="4"/>
      <c r="G14" s="4"/>
      <c r="H14" s="19" t="s">
        <v>60</v>
      </c>
      <c r="I14" s="4" t="s">
        <v>61</v>
      </c>
    </row>
    <row r="15" ht="51" spans="1:9">
      <c r="A15" s="1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20">
        <v>360</v>
      </c>
      <c r="G15" s="20">
        <v>2000</v>
      </c>
      <c r="H15" s="3"/>
      <c r="I15" s="3" t="s">
        <v>67</v>
      </c>
    </row>
    <row r="16" ht="17" spans="1:9">
      <c r="A16" s="14"/>
      <c r="B16" s="4" t="s">
        <v>68</v>
      </c>
      <c r="C16" s="4" t="s">
        <v>69</v>
      </c>
      <c r="D16" s="4" t="s">
        <v>70</v>
      </c>
      <c r="E16" s="4"/>
      <c r="F16" s="4"/>
      <c r="G16" s="4"/>
      <c r="H16" s="19" t="s">
        <v>31</v>
      </c>
      <c r="I16" s="4" t="s">
        <v>71</v>
      </c>
    </row>
    <row r="17" ht="34" spans="1:9">
      <c r="A17" s="14"/>
      <c r="B17" s="3" t="s">
        <v>19</v>
      </c>
      <c r="C17" s="3" t="s">
        <v>72</v>
      </c>
      <c r="D17" s="3" t="s">
        <v>70</v>
      </c>
      <c r="E17" s="3"/>
      <c r="F17" s="3"/>
      <c r="G17" s="3"/>
      <c r="H17" s="20" t="s">
        <v>73</v>
      </c>
      <c r="I17" s="3" t="s">
        <v>74</v>
      </c>
    </row>
    <row r="18" ht="34" spans="1:9">
      <c r="A18" s="14"/>
      <c r="B18" s="4" t="s">
        <v>75</v>
      </c>
      <c r="C18" s="4" t="s">
        <v>76</v>
      </c>
      <c r="D18" s="4" t="s">
        <v>70</v>
      </c>
      <c r="E18" s="4"/>
      <c r="F18" s="4"/>
      <c r="G18" s="4"/>
      <c r="H18" s="19" t="s">
        <v>77</v>
      </c>
      <c r="I18" s="4" t="s">
        <v>78</v>
      </c>
    </row>
    <row r="19" ht="34" spans="1:9">
      <c r="A19" s="14"/>
      <c r="B19" s="3" t="s">
        <v>79</v>
      </c>
      <c r="C19" s="3" t="s">
        <v>80</v>
      </c>
      <c r="D19" s="3" t="s">
        <v>70</v>
      </c>
      <c r="E19" s="3"/>
      <c r="F19" s="3"/>
      <c r="G19" s="3"/>
      <c r="H19" s="20" t="s">
        <v>31</v>
      </c>
      <c r="I19" s="3" t="s">
        <v>81</v>
      </c>
    </row>
    <row r="20" ht="34" spans="1:9">
      <c r="A20" s="14" t="s">
        <v>82</v>
      </c>
      <c r="B20" s="4" t="s">
        <v>83</v>
      </c>
      <c r="C20" s="4" t="s">
        <v>84</v>
      </c>
      <c r="D20" s="4" t="s">
        <v>70</v>
      </c>
      <c r="E20" s="4" t="s">
        <v>85</v>
      </c>
      <c r="F20" s="4"/>
      <c r="G20" s="19">
        <v>816</v>
      </c>
      <c r="H20" s="4"/>
      <c r="I20" s="4" t="s">
        <v>86</v>
      </c>
    </row>
    <row r="21" ht="34" spans="1:9">
      <c r="A21" s="14"/>
      <c r="B21" s="3" t="s">
        <v>87</v>
      </c>
      <c r="C21" s="3" t="s">
        <v>88</v>
      </c>
      <c r="D21" s="3" t="s">
        <v>89</v>
      </c>
      <c r="E21" s="3"/>
      <c r="F21" s="20">
        <v>200</v>
      </c>
      <c r="G21" s="3"/>
      <c r="H21" s="3"/>
      <c r="I21" s="3" t="s">
        <v>90</v>
      </c>
    </row>
    <row r="22" ht="34" spans="1:9">
      <c r="A22" s="15"/>
      <c r="B22" s="4" t="s">
        <v>91</v>
      </c>
      <c r="C22" s="4" t="s">
        <v>92</v>
      </c>
      <c r="D22" s="4" t="s">
        <v>93</v>
      </c>
      <c r="E22" s="4"/>
      <c r="F22" s="4"/>
      <c r="G22" s="4"/>
      <c r="H22" s="4"/>
      <c r="I22" s="4" t="s">
        <v>94</v>
      </c>
    </row>
    <row r="23" ht="34" spans="1:9">
      <c r="A23" s="15"/>
      <c r="B23" s="3" t="s">
        <v>95</v>
      </c>
      <c r="C23" s="3" t="s">
        <v>96</v>
      </c>
      <c r="D23" s="3" t="s">
        <v>97</v>
      </c>
      <c r="E23" s="3"/>
      <c r="F23" s="3"/>
      <c r="G23" s="3"/>
      <c r="H23" s="20" t="s">
        <v>31</v>
      </c>
      <c r="I23" s="3" t="s">
        <v>98</v>
      </c>
    </row>
    <row r="24" ht="34" spans="1:9">
      <c r="A24" s="16" t="s">
        <v>99</v>
      </c>
      <c r="B24" s="4" t="s">
        <v>100</v>
      </c>
      <c r="C24" s="4" t="s">
        <v>101</v>
      </c>
      <c r="D24" s="4" t="s">
        <v>102</v>
      </c>
      <c r="E24" s="4" t="s">
        <v>103</v>
      </c>
      <c r="F24" s="4"/>
      <c r="G24" s="19">
        <v>816</v>
      </c>
      <c r="H24" s="19" t="s">
        <v>31</v>
      </c>
      <c r="I24" s="4" t="s">
        <v>104</v>
      </c>
    </row>
    <row r="25" ht="34" spans="1:9">
      <c r="A25" s="17"/>
      <c r="B25" s="3" t="s">
        <v>105</v>
      </c>
      <c r="C25" s="3" t="s">
        <v>106</v>
      </c>
      <c r="D25" s="3" t="s">
        <v>102</v>
      </c>
      <c r="E25" s="3"/>
      <c r="F25" s="3"/>
      <c r="G25" s="3"/>
      <c r="H25" s="20" t="s">
        <v>31</v>
      </c>
      <c r="I25" s="3" t="s">
        <v>107</v>
      </c>
    </row>
    <row r="26" ht="34" spans="1:9">
      <c r="A26" s="16"/>
      <c r="B26" s="4" t="s">
        <v>108</v>
      </c>
      <c r="C26" s="4" t="s">
        <v>109</v>
      </c>
      <c r="D26" s="4" t="s">
        <v>102</v>
      </c>
      <c r="E26" s="4"/>
      <c r="F26" s="4"/>
      <c r="G26" s="4"/>
      <c r="H26" s="19" t="s">
        <v>31</v>
      </c>
      <c r="I26" s="4" t="s">
        <v>110</v>
      </c>
    </row>
    <row r="27" ht="34" spans="1:9">
      <c r="A27" s="15"/>
      <c r="B27" s="3" t="s">
        <v>111</v>
      </c>
      <c r="C27" s="3" t="s">
        <v>112</v>
      </c>
      <c r="D27" s="3" t="s">
        <v>97</v>
      </c>
      <c r="E27" s="3"/>
      <c r="F27" s="3"/>
      <c r="G27" s="3"/>
      <c r="H27" s="20" t="s">
        <v>113</v>
      </c>
      <c r="I27" s="3" t="s">
        <v>114</v>
      </c>
    </row>
    <row r="28" ht="51" spans="1:9">
      <c r="A28" s="16" t="s">
        <v>115</v>
      </c>
      <c r="B28" s="4" t="s">
        <v>116</v>
      </c>
      <c r="C28" s="4" t="s">
        <v>117</v>
      </c>
      <c r="D28" s="4" t="s">
        <v>118</v>
      </c>
      <c r="E28" s="4" t="s">
        <v>103</v>
      </c>
      <c r="F28" s="4"/>
      <c r="G28" s="19">
        <v>816</v>
      </c>
      <c r="H28" s="19" t="s">
        <v>31</v>
      </c>
      <c r="I28" s="4" t="s">
        <v>119</v>
      </c>
    </row>
    <row r="29" ht="51" spans="1:9">
      <c r="A29" s="17"/>
      <c r="B29" s="3" t="s">
        <v>24</v>
      </c>
      <c r="C29" s="3" t="s">
        <v>120</v>
      </c>
      <c r="D29" s="3" t="s">
        <v>121</v>
      </c>
      <c r="E29" s="3"/>
      <c r="F29" s="3"/>
      <c r="G29" s="3"/>
      <c r="H29" s="20" t="s">
        <v>122</v>
      </c>
      <c r="I29" s="3" t="s">
        <v>123</v>
      </c>
    </row>
    <row r="30" ht="34" spans="1:9">
      <c r="A30" s="16"/>
      <c r="B30" s="4" t="s">
        <v>95</v>
      </c>
      <c r="C30" s="4" t="s">
        <v>124</v>
      </c>
      <c r="D30" s="4" t="s">
        <v>125</v>
      </c>
      <c r="E30" s="4"/>
      <c r="F30" s="4"/>
      <c r="G30" s="4"/>
      <c r="H30" s="19" t="s">
        <v>126</v>
      </c>
      <c r="I30" s="4" t="s">
        <v>127</v>
      </c>
    </row>
    <row r="31" ht="34" spans="1:9">
      <c r="A31" s="17" t="s">
        <v>128</v>
      </c>
      <c r="B31" s="3" t="s">
        <v>116</v>
      </c>
      <c r="C31" s="3" t="s">
        <v>129</v>
      </c>
      <c r="D31" s="3" t="s">
        <v>130</v>
      </c>
      <c r="E31" s="3" t="s">
        <v>103</v>
      </c>
      <c r="F31" s="3"/>
      <c r="G31" s="20">
        <v>816</v>
      </c>
      <c r="H31" s="3"/>
      <c r="I31" s="3" t="s">
        <v>131</v>
      </c>
    </row>
    <row r="32" ht="34" spans="1:9">
      <c r="A32" s="16"/>
      <c r="B32" s="4" t="s">
        <v>132</v>
      </c>
      <c r="C32" s="4" t="s">
        <v>133</v>
      </c>
      <c r="D32" s="4" t="s">
        <v>134</v>
      </c>
      <c r="E32" s="4"/>
      <c r="F32" s="4"/>
      <c r="G32" s="4"/>
      <c r="H32" s="19" t="s">
        <v>31</v>
      </c>
      <c r="I32" s="4" t="s">
        <v>135</v>
      </c>
    </row>
    <row r="33" ht="34" spans="1:9">
      <c r="A33" s="15"/>
      <c r="B33" s="3" t="s">
        <v>95</v>
      </c>
      <c r="C33" s="3" t="s">
        <v>136</v>
      </c>
      <c r="D33" s="3" t="s">
        <v>97</v>
      </c>
      <c r="E33" s="3"/>
      <c r="F33" s="3"/>
      <c r="G33" s="3"/>
      <c r="H33" s="20" t="s">
        <v>126</v>
      </c>
      <c r="I33" s="3" t="s">
        <v>137</v>
      </c>
    </row>
    <row r="34" ht="34" spans="1:9">
      <c r="A34" s="15" t="s">
        <v>138</v>
      </c>
      <c r="B34" s="4" t="s">
        <v>139</v>
      </c>
      <c r="C34" s="4" t="s">
        <v>140</v>
      </c>
      <c r="D34" s="4" t="s">
        <v>141</v>
      </c>
      <c r="E34" s="4" t="s">
        <v>142</v>
      </c>
      <c r="F34" s="4"/>
      <c r="G34" s="19">
        <v>1000</v>
      </c>
      <c r="H34" s="4"/>
      <c r="I34" s="4" t="s">
        <v>143</v>
      </c>
    </row>
    <row r="35" ht="34" spans="1:9">
      <c r="A35" s="18"/>
      <c r="B35" s="3" t="s">
        <v>144</v>
      </c>
      <c r="C35" s="3" t="s">
        <v>145</v>
      </c>
      <c r="D35" s="3" t="s">
        <v>146</v>
      </c>
      <c r="E35" s="3"/>
      <c r="F35" s="20">
        <v>160</v>
      </c>
      <c r="G35" s="3"/>
      <c r="H35" s="3"/>
      <c r="I35" s="3" t="s">
        <v>147</v>
      </c>
    </row>
    <row r="36" ht="34" spans="1:9">
      <c r="A36" s="18"/>
      <c r="B36" s="4" t="s">
        <v>148</v>
      </c>
      <c r="C36" s="4" t="s">
        <v>149</v>
      </c>
      <c r="D36" s="4" t="s">
        <v>150</v>
      </c>
      <c r="E36" s="4"/>
      <c r="F36" s="4"/>
      <c r="G36" s="4"/>
      <c r="H36" s="19" t="s">
        <v>40</v>
      </c>
      <c r="I36" s="4" t="s">
        <v>151</v>
      </c>
    </row>
    <row r="37" ht="51" spans="1:9">
      <c r="A37" s="18"/>
      <c r="B37" s="3" t="s">
        <v>152</v>
      </c>
      <c r="C37" s="3" t="s">
        <v>153</v>
      </c>
      <c r="D37" s="3" t="s">
        <v>150</v>
      </c>
      <c r="E37" s="3"/>
      <c r="F37" s="3"/>
      <c r="G37" s="3"/>
      <c r="H37" s="20" t="s">
        <v>31</v>
      </c>
      <c r="I37" s="3" t="s">
        <v>154</v>
      </c>
    </row>
    <row r="38" ht="34" spans="1:9">
      <c r="A38" s="18"/>
      <c r="B38" s="4" t="s">
        <v>29</v>
      </c>
      <c r="C38" s="4" t="s">
        <v>155</v>
      </c>
      <c r="D38" s="4" t="s">
        <v>150</v>
      </c>
      <c r="E38" s="4"/>
      <c r="F38" s="4"/>
      <c r="G38" s="4"/>
      <c r="H38" s="19" t="s">
        <v>156</v>
      </c>
      <c r="I38" s="4" t="s">
        <v>157</v>
      </c>
    </row>
    <row r="39" ht="34" spans="1:9">
      <c r="A39" s="18"/>
      <c r="B39" s="3" t="s">
        <v>158</v>
      </c>
      <c r="C39" s="3" t="s">
        <v>159</v>
      </c>
      <c r="D39" s="3" t="s">
        <v>150</v>
      </c>
      <c r="E39" s="3"/>
      <c r="F39" s="3"/>
      <c r="G39" s="3"/>
      <c r="H39" s="20" t="s">
        <v>160</v>
      </c>
      <c r="I39" s="3" t="s">
        <v>161</v>
      </c>
    </row>
    <row r="40" ht="34" spans="1:9">
      <c r="A40" s="18"/>
      <c r="B40" s="4" t="s">
        <v>162</v>
      </c>
      <c r="C40" s="4" t="s">
        <v>163</v>
      </c>
      <c r="D40" s="4" t="s">
        <v>150</v>
      </c>
      <c r="E40" s="4"/>
      <c r="F40" s="4"/>
      <c r="G40" s="4"/>
      <c r="H40" s="19" t="s">
        <v>31</v>
      </c>
      <c r="I40" s="4" t="s">
        <v>164</v>
      </c>
    </row>
    <row r="41" ht="51" spans="1:9">
      <c r="A41" s="17"/>
      <c r="B41" s="3"/>
      <c r="C41" s="3" t="s">
        <v>165</v>
      </c>
      <c r="D41" s="3"/>
      <c r="E41" s="3"/>
      <c r="F41" s="3"/>
      <c r="G41" s="3"/>
      <c r="H41" s="3"/>
      <c r="I41" s="3" t="s">
        <v>166</v>
      </c>
    </row>
    <row r="42" ht="34" spans="1:9">
      <c r="A42" s="18" t="s">
        <v>167</v>
      </c>
      <c r="B42" s="4" t="s">
        <v>168</v>
      </c>
      <c r="C42" s="4" t="s">
        <v>169</v>
      </c>
      <c r="D42" s="4" t="s">
        <v>150</v>
      </c>
      <c r="E42" s="4" t="s">
        <v>170</v>
      </c>
      <c r="F42" s="4"/>
      <c r="G42" s="19">
        <v>2200</v>
      </c>
      <c r="H42" s="4"/>
      <c r="I42" s="4" t="s">
        <v>171</v>
      </c>
    </row>
    <row r="43" ht="34" spans="1:9">
      <c r="A43" s="18"/>
      <c r="B43" s="3" t="s">
        <v>172</v>
      </c>
      <c r="C43" s="3" t="s">
        <v>173</v>
      </c>
      <c r="D43" s="3" t="s">
        <v>174</v>
      </c>
      <c r="E43" s="3"/>
      <c r="F43" s="20">
        <v>1200</v>
      </c>
      <c r="G43" s="3"/>
      <c r="H43" s="3"/>
      <c r="I43" s="3" t="s">
        <v>175</v>
      </c>
    </row>
    <row r="44" ht="34" spans="1:9">
      <c r="A44" s="16"/>
      <c r="B44" s="4" t="s">
        <v>19</v>
      </c>
      <c r="C44" s="4" t="s">
        <v>16</v>
      </c>
      <c r="D44" s="4" t="s">
        <v>176</v>
      </c>
      <c r="E44" s="4"/>
      <c r="F44" s="4"/>
      <c r="G44" s="4"/>
      <c r="H44" s="4"/>
      <c r="I44" s="4" t="s">
        <v>177</v>
      </c>
    </row>
    <row r="45" ht="34" spans="1:9">
      <c r="A45" s="16"/>
      <c r="B45" s="3" t="s">
        <v>178</v>
      </c>
      <c r="C45" s="3" t="s">
        <v>179</v>
      </c>
      <c r="D45" s="3" t="s">
        <v>176</v>
      </c>
      <c r="E45" s="3"/>
      <c r="F45" s="3"/>
      <c r="G45" s="3"/>
      <c r="H45" s="20" t="s">
        <v>31</v>
      </c>
      <c r="I45" s="3" t="s">
        <v>180</v>
      </c>
    </row>
    <row r="46" ht="34" spans="1:9">
      <c r="A46" s="16"/>
      <c r="B46" s="4" t="s">
        <v>181</v>
      </c>
      <c r="C46" s="4" t="s">
        <v>182</v>
      </c>
      <c r="D46" s="4" t="s">
        <v>176</v>
      </c>
      <c r="E46" s="4"/>
      <c r="F46" s="4"/>
      <c r="G46" s="4"/>
      <c r="H46" s="19" t="s">
        <v>22</v>
      </c>
      <c r="I46" s="4" t="s">
        <v>183</v>
      </c>
    </row>
    <row r="47" ht="34" spans="1:9">
      <c r="A47" s="16"/>
      <c r="B47" s="3" t="s">
        <v>184</v>
      </c>
      <c r="C47" s="3" t="s">
        <v>185</v>
      </c>
      <c r="D47" s="3" t="s">
        <v>176</v>
      </c>
      <c r="E47" s="3"/>
      <c r="F47" s="3"/>
      <c r="G47" s="3"/>
      <c r="H47" s="20" t="s">
        <v>31</v>
      </c>
      <c r="I47" s="3" t="s">
        <v>186</v>
      </c>
    </row>
    <row r="48" ht="34" spans="1:9">
      <c r="A48" s="16"/>
      <c r="B48" s="4" t="s">
        <v>187</v>
      </c>
      <c r="C48" s="4" t="s">
        <v>188</v>
      </c>
      <c r="D48" s="4" t="s">
        <v>176</v>
      </c>
      <c r="E48" s="4"/>
      <c r="F48" s="4"/>
      <c r="G48" s="4"/>
      <c r="H48" s="19" t="s">
        <v>31</v>
      </c>
      <c r="I48" s="4" t="s">
        <v>189</v>
      </c>
    </row>
    <row r="49" ht="34" spans="1:9">
      <c r="A49" s="16" t="s">
        <v>190</v>
      </c>
      <c r="B49" s="3" t="s">
        <v>191</v>
      </c>
      <c r="C49" s="3" t="s">
        <v>192</v>
      </c>
      <c r="D49" s="3" t="s">
        <v>176</v>
      </c>
      <c r="E49" s="3" t="s">
        <v>170</v>
      </c>
      <c r="F49" s="3"/>
      <c r="G49" s="20">
        <v>2200</v>
      </c>
      <c r="H49" s="20" t="s">
        <v>193</v>
      </c>
      <c r="I49" s="3" t="s">
        <v>194</v>
      </c>
    </row>
    <row r="50" ht="51" spans="1:9">
      <c r="A50" s="16"/>
      <c r="B50" s="4" t="s">
        <v>195</v>
      </c>
      <c r="C50" s="4" t="s">
        <v>196</v>
      </c>
      <c r="D50" s="4" t="s">
        <v>176</v>
      </c>
      <c r="E50" s="4"/>
      <c r="F50" s="4"/>
      <c r="G50" s="4"/>
      <c r="H50" s="19" t="s">
        <v>197</v>
      </c>
      <c r="I50" s="4" t="s">
        <v>198</v>
      </c>
    </row>
    <row r="51" ht="34" spans="1:9">
      <c r="A51" s="16"/>
      <c r="B51" s="3" t="s">
        <v>199</v>
      </c>
      <c r="C51" s="3" t="s">
        <v>200</v>
      </c>
      <c r="D51" s="3" t="s">
        <v>176</v>
      </c>
      <c r="E51" s="3"/>
      <c r="F51" s="3"/>
      <c r="G51" s="3"/>
      <c r="H51" s="20" t="s">
        <v>22</v>
      </c>
      <c r="I51" s="3" t="s">
        <v>201</v>
      </c>
    </row>
    <row r="52" ht="34" spans="1:9">
      <c r="A52" s="16"/>
      <c r="B52" s="4" t="s">
        <v>202</v>
      </c>
      <c r="C52" s="4" t="s">
        <v>203</v>
      </c>
      <c r="D52" s="4" t="s">
        <v>176</v>
      </c>
      <c r="E52" s="4"/>
      <c r="F52" s="4"/>
      <c r="G52" s="4"/>
      <c r="H52" s="19" t="s">
        <v>204</v>
      </c>
      <c r="I52" s="4" t="s">
        <v>205</v>
      </c>
    </row>
    <row r="53" ht="51" spans="1:9">
      <c r="A53" s="16"/>
      <c r="B53" s="3" t="s">
        <v>206</v>
      </c>
      <c r="C53" s="3" t="s">
        <v>207</v>
      </c>
      <c r="D53" s="3" t="s">
        <v>176</v>
      </c>
      <c r="E53" s="3"/>
      <c r="F53" s="3"/>
      <c r="G53" s="3"/>
      <c r="H53" s="20" t="s">
        <v>31</v>
      </c>
      <c r="I53" s="3" t="s">
        <v>208</v>
      </c>
    </row>
    <row r="54" ht="34" spans="1:9">
      <c r="A54" s="16" t="s">
        <v>209</v>
      </c>
      <c r="B54" s="4" t="s">
        <v>210</v>
      </c>
      <c r="C54" s="4" t="s">
        <v>211</v>
      </c>
      <c r="D54" s="4" t="s">
        <v>212</v>
      </c>
      <c r="E54" s="4" t="s">
        <v>170</v>
      </c>
      <c r="F54" s="4"/>
      <c r="G54" s="19">
        <v>2200</v>
      </c>
      <c r="H54" s="4"/>
      <c r="I54" s="4" t="s">
        <v>213</v>
      </c>
    </row>
    <row r="55" ht="34" spans="1:9">
      <c r="A55" s="17"/>
      <c r="B55" s="3" t="s">
        <v>195</v>
      </c>
      <c r="C55" s="3" t="s">
        <v>214</v>
      </c>
      <c r="D55" s="3" t="s">
        <v>215</v>
      </c>
      <c r="E55" s="3"/>
      <c r="F55" s="3"/>
      <c r="G55" s="3"/>
      <c r="H55" s="20" t="s">
        <v>216</v>
      </c>
      <c r="I55" s="3" t="s">
        <v>217</v>
      </c>
    </row>
    <row r="56" ht="17" spans="1:9">
      <c r="A56" s="16"/>
      <c r="B56" s="4" t="s">
        <v>218</v>
      </c>
      <c r="C56" s="4" t="s">
        <v>219</v>
      </c>
      <c r="D56" s="4" t="s">
        <v>220</v>
      </c>
      <c r="E56" s="4"/>
      <c r="F56" s="4"/>
      <c r="G56" s="4"/>
      <c r="H56" s="19" t="s">
        <v>73</v>
      </c>
      <c r="I56" s="4"/>
    </row>
    <row r="57" ht="34" spans="1:9">
      <c r="A57" s="16"/>
      <c r="B57" s="3" t="s">
        <v>221</v>
      </c>
      <c r="C57" s="3" t="s">
        <v>222</v>
      </c>
      <c r="D57" s="3" t="s">
        <v>176</v>
      </c>
      <c r="E57" s="3"/>
      <c r="F57" s="3"/>
      <c r="G57" s="3"/>
      <c r="H57" s="20" t="s">
        <v>223</v>
      </c>
      <c r="I57" s="3" t="s">
        <v>224</v>
      </c>
    </row>
    <row r="58" ht="17" spans="1:9">
      <c r="A58" s="16"/>
      <c r="B58" s="4" t="s">
        <v>225</v>
      </c>
      <c r="C58" s="4" t="s">
        <v>226</v>
      </c>
      <c r="D58" s="4" t="s">
        <v>176</v>
      </c>
      <c r="E58" s="4"/>
      <c r="F58" s="4"/>
      <c r="G58" s="4"/>
      <c r="H58" s="19" t="s">
        <v>227</v>
      </c>
      <c r="I58" s="4" t="s">
        <v>228</v>
      </c>
    </row>
    <row r="59" ht="34" spans="1:9">
      <c r="A59" s="16"/>
      <c r="B59" s="3" t="s">
        <v>158</v>
      </c>
      <c r="C59" s="3" t="s">
        <v>229</v>
      </c>
      <c r="D59" s="3" t="s">
        <v>176</v>
      </c>
      <c r="E59" s="3"/>
      <c r="F59" s="3"/>
      <c r="G59" s="3"/>
      <c r="H59" s="20" t="s">
        <v>113</v>
      </c>
      <c r="I59" s="3" t="s">
        <v>230</v>
      </c>
    </row>
    <row r="60" ht="34" spans="1:9">
      <c r="A60" s="16" t="s">
        <v>231</v>
      </c>
      <c r="B60" s="4" t="s">
        <v>232</v>
      </c>
      <c r="C60" s="4" t="s">
        <v>233</v>
      </c>
      <c r="D60" s="4" t="s">
        <v>176</v>
      </c>
      <c r="E60" s="4"/>
      <c r="F60" s="4"/>
      <c r="G60" s="4"/>
      <c r="H60" s="4"/>
      <c r="I60" s="4" t="s">
        <v>234</v>
      </c>
    </row>
    <row r="61" ht="34" spans="1:9">
      <c r="A61" s="16"/>
      <c r="B61" s="3" t="s">
        <v>235</v>
      </c>
      <c r="C61" s="3" t="s">
        <v>236</v>
      </c>
      <c r="D61" s="3" t="s">
        <v>237</v>
      </c>
      <c r="E61" s="3"/>
      <c r="F61" s="20">
        <v>11116</v>
      </c>
      <c r="G61" s="3"/>
      <c r="H61" s="3"/>
      <c r="I61" s="3" t="s">
        <v>238</v>
      </c>
    </row>
  </sheetData>
  <mergeCells count="23">
    <mergeCell ref="A2:A7"/>
    <mergeCell ref="A8:A14"/>
    <mergeCell ref="A15:A19"/>
    <mergeCell ref="A20:A23"/>
    <mergeCell ref="A24:A27"/>
    <mergeCell ref="A28:A30"/>
    <mergeCell ref="A31:A33"/>
    <mergeCell ref="A34:A41"/>
    <mergeCell ref="A42:A48"/>
    <mergeCell ref="A49:A53"/>
    <mergeCell ref="A54:A59"/>
    <mergeCell ref="A60:A61"/>
    <mergeCell ref="E2:E7"/>
    <mergeCell ref="E8:E14"/>
    <mergeCell ref="E15:E19"/>
    <mergeCell ref="E20:E23"/>
    <mergeCell ref="E24:E27"/>
    <mergeCell ref="E28:E30"/>
    <mergeCell ref="E31:E33"/>
    <mergeCell ref="E34:E41"/>
    <mergeCell ref="E42:E48"/>
    <mergeCell ref="E49:E53"/>
    <mergeCell ref="E54:E6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26" sqref="B26"/>
    </sheetView>
  </sheetViews>
  <sheetFormatPr defaultColWidth="9" defaultRowHeight="16.8" outlineLevelCol="3"/>
  <cols>
    <col min="1" max="1" width="18" customWidth="1"/>
    <col min="2" max="2" width="36" customWidth="1"/>
    <col min="3" max="3" width="18" customWidth="1"/>
    <col min="4" max="4" width="40" customWidth="1"/>
  </cols>
  <sheetData>
    <row r="1" ht="30" customHeight="1" spans="1:4">
      <c r="A1" s="1" t="s">
        <v>239</v>
      </c>
      <c r="B1" s="1" t="s">
        <v>240</v>
      </c>
      <c r="C1" s="1" t="s">
        <v>241</v>
      </c>
      <c r="D1" s="1" t="s">
        <v>242</v>
      </c>
    </row>
    <row r="2" ht="17" spans="1:4">
      <c r="A2" s="4" t="s">
        <v>243</v>
      </c>
      <c r="B2" s="4" t="s">
        <v>244</v>
      </c>
      <c r="C2" s="4">
        <f>11116*2</f>
        <v>22232</v>
      </c>
      <c r="D2" s="4" t="s">
        <v>245</v>
      </c>
    </row>
    <row r="3" ht="17" spans="1:4">
      <c r="A3" s="8"/>
      <c r="B3" s="3" t="s">
        <v>246</v>
      </c>
      <c r="C3" s="3">
        <v>1200</v>
      </c>
      <c r="D3" s="3" t="s">
        <v>247</v>
      </c>
    </row>
    <row r="4" ht="17" spans="1:4">
      <c r="A4" s="4" t="s">
        <v>248</v>
      </c>
      <c r="B4" s="4" t="s">
        <v>249</v>
      </c>
      <c r="C4" s="4">
        <v>720</v>
      </c>
      <c r="D4" s="4" t="s">
        <v>250</v>
      </c>
    </row>
    <row r="5" ht="17" spans="1:4">
      <c r="A5" s="6"/>
      <c r="B5" s="3" t="s">
        <v>89</v>
      </c>
      <c r="C5" s="3">
        <v>400</v>
      </c>
      <c r="D5" s="3" t="s">
        <v>251</v>
      </c>
    </row>
    <row r="6" ht="17" spans="1:4">
      <c r="A6" s="8"/>
      <c r="B6" s="4" t="s">
        <v>146</v>
      </c>
      <c r="C6" s="4">
        <v>160</v>
      </c>
      <c r="D6" s="4" t="s">
        <v>252</v>
      </c>
    </row>
    <row r="7" ht="17" spans="1:4">
      <c r="A7" s="3" t="s">
        <v>253</v>
      </c>
      <c r="B7" s="3" t="s">
        <v>254</v>
      </c>
      <c r="C7" s="3">
        <v>2400</v>
      </c>
      <c r="D7" s="3" t="s">
        <v>255</v>
      </c>
    </row>
    <row r="8" ht="34" spans="1:4">
      <c r="A8" s="4" t="s">
        <v>256</v>
      </c>
      <c r="B8" s="4" t="s">
        <v>257</v>
      </c>
      <c r="C8" s="4">
        <v>800</v>
      </c>
      <c r="D8" s="4" t="s">
        <v>258</v>
      </c>
    </row>
    <row r="9" ht="17" spans="1:4">
      <c r="A9" s="3" t="s">
        <v>259</v>
      </c>
      <c r="B9" s="3" t="s">
        <v>260</v>
      </c>
      <c r="C9" s="3">
        <v>3576</v>
      </c>
      <c r="D9" s="3" t="s">
        <v>261</v>
      </c>
    </row>
    <row r="10" ht="17" spans="1:4">
      <c r="A10" s="6"/>
      <c r="B10" s="4" t="s">
        <v>262</v>
      </c>
      <c r="C10" s="4">
        <v>2000</v>
      </c>
      <c r="D10" s="4" t="s">
        <v>263</v>
      </c>
    </row>
    <row r="11" ht="17" spans="1:4">
      <c r="A11" s="6"/>
      <c r="B11" s="3" t="s">
        <v>264</v>
      </c>
      <c r="C11" s="3">
        <v>3264</v>
      </c>
      <c r="D11" s="3" t="s">
        <v>265</v>
      </c>
    </row>
    <row r="12" ht="17" spans="1:4">
      <c r="A12" s="6"/>
      <c r="B12" s="4" t="s">
        <v>266</v>
      </c>
      <c r="C12" s="4">
        <v>1000</v>
      </c>
      <c r="D12" s="4" t="s">
        <v>263</v>
      </c>
    </row>
    <row r="13" ht="17" spans="1:4">
      <c r="A13" s="8"/>
      <c r="B13" s="3" t="s">
        <v>267</v>
      </c>
      <c r="C13" s="3">
        <v>6600</v>
      </c>
      <c r="D13" s="3" t="s">
        <v>263</v>
      </c>
    </row>
    <row r="14" ht="17" spans="1:4">
      <c r="A14" s="4" t="s">
        <v>268</v>
      </c>
      <c r="B14" s="4" t="s">
        <v>269</v>
      </c>
      <c r="C14" s="4">
        <v>4321</v>
      </c>
      <c r="D14" s="4" t="s">
        <v>270</v>
      </c>
    </row>
    <row r="15" ht="17" spans="1:4">
      <c r="A15" s="3" t="s">
        <v>271</v>
      </c>
      <c r="B15" s="3" t="s">
        <v>272</v>
      </c>
      <c r="C15" s="3">
        <v>7584</v>
      </c>
      <c r="D15" s="3" t="s">
        <v>273</v>
      </c>
    </row>
    <row r="16" ht="17" spans="1:4">
      <c r="A16" s="4" t="s">
        <v>274</v>
      </c>
      <c r="B16" s="4" t="s">
        <v>275</v>
      </c>
      <c r="C16" s="4">
        <v>200</v>
      </c>
      <c r="D16" s="4" t="s">
        <v>276</v>
      </c>
    </row>
    <row r="17" ht="17" spans="1:4">
      <c r="A17" s="6"/>
      <c r="B17" s="3" t="s">
        <v>277</v>
      </c>
      <c r="C17" s="3">
        <v>300</v>
      </c>
      <c r="D17" s="3" t="s">
        <v>278</v>
      </c>
    </row>
    <row r="18" ht="17" spans="1:4">
      <c r="A18" s="8"/>
      <c r="B18" s="4" t="s">
        <v>279</v>
      </c>
      <c r="C18" s="4">
        <v>3000</v>
      </c>
      <c r="D18" s="4" t="s">
        <v>280</v>
      </c>
    </row>
    <row r="20" ht="20.4" spans="1:4">
      <c r="A20" s="9" t="s">
        <v>281</v>
      </c>
      <c r="B20" s="10" t="s">
        <v>282</v>
      </c>
      <c r="C20" s="11">
        <f>48641+11116</f>
        <v>59757</v>
      </c>
      <c r="D20" s="12" t="s">
        <v>283</v>
      </c>
    </row>
  </sheetData>
  <mergeCells count="4">
    <mergeCell ref="A2:A3"/>
    <mergeCell ref="A4:A6"/>
    <mergeCell ref="A9:A13"/>
    <mergeCell ref="A16:A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16" customWidth="1"/>
    <col min="2" max="2" width="42" customWidth="1"/>
    <col min="3" max="3" width="8" customWidth="1"/>
    <col min="4" max="4" width="50" customWidth="1"/>
  </cols>
  <sheetData>
    <row r="1" ht="30" customHeight="1" spans="1:4">
      <c r="A1" s="1" t="s">
        <v>239</v>
      </c>
      <c r="B1" s="1" t="s">
        <v>284</v>
      </c>
      <c r="C1" s="1" t="s">
        <v>285</v>
      </c>
      <c r="D1" s="1" t="s">
        <v>242</v>
      </c>
    </row>
    <row r="2" ht="20.4" spans="1:4">
      <c r="A2" s="4" t="s">
        <v>286</v>
      </c>
      <c r="B2" s="4" t="s">
        <v>287</v>
      </c>
      <c r="C2" s="5" t="s">
        <v>288</v>
      </c>
      <c r="D2" s="4" t="s">
        <v>289</v>
      </c>
    </row>
    <row r="3" ht="34" spans="1:4">
      <c r="A3" s="6"/>
      <c r="B3" s="3" t="s">
        <v>290</v>
      </c>
      <c r="C3" s="7" t="s">
        <v>288</v>
      </c>
      <c r="D3" s="3" t="s">
        <v>291</v>
      </c>
    </row>
    <row r="4" ht="34" spans="1:4">
      <c r="A4" s="6"/>
      <c r="B4" s="4" t="s">
        <v>292</v>
      </c>
      <c r="C4" s="5" t="s">
        <v>288</v>
      </c>
      <c r="D4" s="4" t="s">
        <v>293</v>
      </c>
    </row>
    <row r="5" ht="20.4" spans="1:4">
      <c r="A5" s="6"/>
      <c r="B5" s="3" t="s">
        <v>294</v>
      </c>
      <c r="C5" s="7" t="s">
        <v>288</v>
      </c>
      <c r="D5" s="3" t="s">
        <v>295</v>
      </c>
    </row>
    <row r="6" ht="20.4" spans="1:4">
      <c r="A6" s="6"/>
      <c r="B6" s="4" t="s">
        <v>296</v>
      </c>
      <c r="C6" s="5" t="s">
        <v>288</v>
      </c>
      <c r="D6" s="4" t="s">
        <v>297</v>
      </c>
    </row>
    <row r="7" ht="20.4" spans="1:4">
      <c r="A7" s="6"/>
      <c r="B7" s="3" t="s">
        <v>298</v>
      </c>
      <c r="C7" s="7" t="s">
        <v>288</v>
      </c>
      <c r="D7" s="3" t="s">
        <v>299</v>
      </c>
    </row>
    <row r="8" ht="20.4" spans="1:4">
      <c r="A8" s="8"/>
      <c r="B8" s="4" t="s">
        <v>300</v>
      </c>
      <c r="C8" s="5" t="s">
        <v>288</v>
      </c>
      <c r="D8" s="4" t="s">
        <v>263</v>
      </c>
    </row>
    <row r="9" ht="34" spans="1:4">
      <c r="A9" s="3" t="s">
        <v>301</v>
      </c>
      <c r="B9" s="3" t="s">
        <v>302</v>
      </c>
      <c r="C9" s="7" t="s">
        <v>288</v>
      </c>
      <c r="D9" s="3" t="s">
        <v>303</v>
      </c>
    </row>
    <row r="10" ht="20.4" spans="1:4">
      <c r="A10" s="6"/>
      <c r="B10" s="4" t="s">
        <v>304</v>
      </c>
      <c r="C10" s="5" t="s">
        <v>288</v>
      </c>
      <c r="D10" s="4" t="s">
        <v>305</v>
      </c>
    </row>
    <row r="11" ht="20.4" spans="1:4">
      <c r="A11" s="6"/>
      <c r="B11" s="3" t="s">
        <v>306</v>
      </c>
      <c r="C11" s="7" t="s">
        <v>288</v>
      </c>
      <c r="D11" s="3" t="s">
        <v>307</v>
      </c>
    </row>
    <row r="12" ht="20.4" spans="1:4">
      <c r="A12" s="8"/>
      <c r="B12" s="4" t="s">
        <v>308</v>
      </c>
      <c r="C12" s="5" t="s">
        <v>288</v>
      </c>
      <c r="D12" s="4" t="s">
        <v>309</v>
      </c>
    </row>
    <row r="13" ht="34" spans="1:4">
      <c r="A13" s="3" t="s">
        <v>310</v>
      </c>
      <c r="B13" s="3" t="s">
        <v>311</v>
      </c>
      <c r="C13" s="7" t="s">
        <v>288</v>
      </c>
      <c r="D13" s="3" t="s">
        <v>312</v>
      </c>
    </row>
    <row r="14" ht="20.4" spans="1:4">
      <c r="A14" s="6"/>
      <c r="B14" s="4" t="s">
        <v>313</v>
      </c>
      <c r="C14" s="5" t="s">
        <v>288</v>
      </c>
      <c r="D14" s="4" t="s">
        <v>314</v>
      </c>
    </row>
    <row r="15" ht="34" spans="1:4">
      <c r="A15" s="6"/>
      <c r="B15" s="3" t="s">
        <v>315</v>
      </c>
      <c r="C15" s="7" t="s">
        <v>288</v>
      </c>
      <c r="D15" s="3" t="s">
        <v>316</v>
      </c>
    </row>
    <row r="16" ht="20.4" spans="1:4">
      <c r="A16" s="8"/>
      <c r="B16" s="4" t="s">
        <v>317</v>
      </c>
      <c r="C16" s="5" t="s">
        <v>288</v>
      </c>
      <c r="D16" s="4" t="s">
        <v>318</v>
      </c>
    </row>
    <row r="17" ht="20.4" spans="1:4">
      <c r="A17" s="3" t="s">
        <v>319</v>
      </c>
      <c r="B17" s="3" t="s">
        <v>320</v>
      </c>
      <c r="C17" s="7" t="s">
        <v>288</v>
      </c>
      <c r="D17" s="3" t="s">
        <v>321</v>
      </c>
    </row>
    <row r="18" ht="20.4" spans="1:4">
      <c r="A18" s="6"/>
      <c r="B18" s="4" t="s">
        <v>322</v>
      </c>
      <c r="C18" s="5" t="s">
        <v>288</v>
      </c>
      <c r="D18" s="4" t="s">
        <v>323</v>
      </c>
    </row>
    <row r="19" ht="20.4" spans="1:4">
      <c r="A19" s="6"/>
      <c r="B19" s="3" t="s">
        <v>324</v>
      </c>
      <c r="C19" s="7" t="s">
        <v>288</v>
      </c>
      <c r="D19" s="3" t="s">
        <v>325</v>
      </c>
    </row>
    <row r="20" ht="20.4" spans="1:4">
      <c r="A20" s="6"/>
      <c r="B20" s="4" t="s">
        <v>326</v>
      </c>
      <c r="C20" s="5" t="s">
        <v>288</v>
      </c>
      <c r="D20" s="4" t="s">
        <v>327</v>
      </c>
    </row>
    <row r="21" ht="20.4" spans="1:4">
      <c r="A21" s="6"/>
      <c r="B21" s="3" t="s">
        <v>328</v>
      </c>
      <c r="C21" s="7" t="s">
        <v>288</v>
      </c>
      <c r="D21" s="3" t="s">
        <v>329</v>
      </c>
    </row>
    <row r="22" ht="20.4" spans="1:4">
      <c r="A22" s="6"/>
      <c r="B22" s="4" t="s">
        <v>330</v>
      </c>
      <c r="C22" s="5" t="s">
        <v>288</v>
      </c>
      <c r="D22" s="4" t="s">
        <v>331</v>
      </c>
    </row>
    <row r="23" ht="20.4" spans="1:4">
      <c r="A23" s="8"/>
      <c r="B23" s="3" t="s">
        <v>332</v>
      </c>
      <c r="C23" s="7" t="s">
        <v>288</v>
      </c>
      <c r="D23" s="3" t="s">
        <v>333</v>
      </c>
    </row>
    <row r="24" ht="34" spans="1:4">
      <c r="A24" s="4" t="s">
        <v>334</v>
      </c>
      <c r="B24" s="4" t="s">
        <v>335</v>
      </c>
      <c r="C24" s="5" t="s">
        <v>288</v>
      </c>
      <c r="D24" s="4" t="s">
        <v>336</v>
      </c>
    </row>
    <row r="25" ht="20.4" spans="1:4">
      <c r="A25" s="6"/>
      <c r="B25" s="3" t="s">
        <v>337</v>
      </c>
      <c r="C25" s="7" t="s">
        <v>288</v>
      </c>
      <c r="D25" s="3" t="s">
        <v>338</v>
      </c>
    </row>
    <row r="26" ht="20.4" spans="1:4">
      <c r="A26" s="6"/>
      <c r="B26" s="4" t="s">
        <v>339</v>
      </c>
      <c r="C26" s="5" t="s">
        <v>288</v>
      </c>
      <c r="D26" s="4" t="s">
        <v>340</v>
      </c>
    </row>
    <row r="27" ht="20.4" spans="1:4">
      <c r="A27" s="8"/>
      <c r="B27" s="3" t="s">
        <v>341</v>
      </c>
      <c r="C27" s="7" t="s">
        <v>288</v>
      </c>
      <c r="D27" s="3" t="s">
        <v>342</v>
      </c>
    </row>
    <row r="28" ht="20.4" spans="1:4">
      <c r="A28" s="4" t="s">
        <v>343</v>
      </c>
      <c r="B28" s="4" t="s">
        <v>344</v>
      </c>
      <c r="C28" s="5" t="s">
        <v>288</v>
      </c>
      <c r="D28" s="4" t="s">
        <v>345</v>
      </c>
    </row>
    <row r="29" ht="20.4" spans="1:4">
      <c r="A29" s="6"/>
      <c r="B29" s="3" t="s">
        <v>346</v>
      </c>
      <c r="C29" s="7" t="s">
        <v>288</v>
      </c>
      <c r="D29" s="3" t="s">
        <v>347</v>
      </c>
    </row>
    <row r="30" ht="20.4" spans="1:4">
      <c r="A30" s="6"/>
      <c r="B30" s="4" t="s">
        <v>348</v>
      </c>
      <c r="C30" s="5" t="s">
        <v>288</v>
      </c>
      <c r="D30" s="4" t="s">
        <v>349</v>
      </c>
    </row>
    <row r="31" ht="20.4" spans="1:4">
      <c r="A31" s="8"/>
      <c r="B31" s="3" t="s">
        <v>350</v>
      </c>
      <c r="C31" s="7" t="s">
        <v>288</v>
      </c>
      <c r="D31" s="3" t="s">
        <v>351</v>
      </c>
    </row>
    <row r="32" ht="34" spans="1:4">
      <c r="A32" s="4" t="s">
        <v>352</v>
      </c>
      <c r="B32" s="4" t="s">
        <v>353</v>
      </c>
      <c r="C32" s="5" t="s">
        <v>288</v>
      </c>
      <c r="D32" s="4" t="s">
        <v>354</v>
      </c>
    </row>
    <row r="33" ht="20.4" spans="1:4">
      <c r="A33" s="6"/>
      <c r="B33" s="3" t="s">
        <v>355</v>
      </c>
      <c r="C33" s="7" t="s">
        <v>288</v>
      </c>
      <c r="D33" s="3" t="s">
        <v>356</v>
      </c>
    </row>
    <row r="34" ht="20.4" spans="1:4">
      <c r="A34" s="6"/>
      <c r="B34" s="4" t="s">
        <v>357</v>
      </c>
      <c r="C34" s="5" t="s">
        <v>288</v>
      </c>
      <c r="D34" s="4" t="s">
        <v>358</v>
      </c>
    </row>
    <row r="35" ht="20.4" spans="1:4">
      <c r="A35" s="6"/>
      <c r="B35" s="3" t="s">
        <v>359</v>
      </c>
      <c r="C35" s="7" t="s">
        <v>288</v>
      </c>
      <c r="D35" s="3" t="s">
        <v>360</v>
      </c>
    </row>
    <row r="36" ht="20.4" spans="1:4">
      <c r="A36" s="6"/>
      <c r="B36" s="4" t="s">
        <v>361</v>
      </c>
      <c r="C36" s="5" t="s">
        <v>288</v>
      </c>
      <c r="D36" s="4" t="s">
        <v>362</v>
      </c>
    </row>
    <row r="37" ht="20.4" spans="1:4">
      <c r="A37" s="8"/>
      <c r="B37" s="3" t="s">
        <v>363</v>
      </c>
      <c r="C37" s="7" t="s">
        <v>288</v>
      </c>
      <c r="D37" s="3" t="s">
        <v>364</v>
      </c>
    </row>
  </sheetData>
  <mergeCells count="7">
    <mergeCell ref="A2:A8"/>
    <mergeCell ref="A9:A12"/>
    <mergeCell ref="A13:A16"/>
    <mergeCell ref="A17:A23"/>
    <mergeCell ref="A24:A27"/>
    <mergeCell ref="A28:A31"/>
    <mergeCell ref="A32:A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4" customWidth="1"/>
    <col min="2" max="2" width="32" customWidth="1"/>
    <col min="3" max="3" width="14" customWidth="1"/>
    <col min="4" max="4" width="12" customWidth="1"/>
    <col min="5" max="5" width="38" customWidth="1"/>
    <col min="6" max="6" width="50" customWidth="1"/>
  </cols>
  <sheetData>
    <row r="1" ht="30" customHeight="1" spans="1:6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242</v>
      </c>
    </row>
    <row r="2" ht="34" spans="1:6">
      <c r="A2" s="4" t="s">
        <v>17</v>
      </c>
      <c r="B2" s="4" t="s">
        <v>370</v>
      </c>
      <c r="C2" s="4" t="s">
        <v>371</v>
      </c>
      <c r="D2" s="4" t="s">
        <v>160</v>
      </c>
      <c r="E2" s="4" t="s">
        <v>372</v>
      </c>
      <c r="F2" s="4" t="s">
        <v>373</v>
      </c>
    </row>
    <row r="3" ht="34" spans="1:6">
      <c r="A3" s="3" t="s">
        <v>17</v>
      </c>
      <c r="B3" s="3" t="s">
        <v>374</v>
      </c>
      <c r="C3" s="3" t="s">
        <v>375</v>
      </c>
      <c r="D3" s="3" t="s">
        <v>376</v>
      </c>
      <c r="E3" s="3" t="s">
        <v>377</v>
      </c>
      <c r="F3" s="3" t="s">
        <v>378</v>
      </c>
    </row>
    <row r="4" ht="34" spans="1:6">
      <c r="A4" s="4" t="s">
        <v>17</v>
      </c>
      <c r="B4" s="4" t="s">
        <v>379</v>
      </c>
      <c r="C4" s="4" t="s">
        <v>380</v>
      </c>
      <c r="D4" s="4" t="s">
        <v>381</v>
      </c>
      <c r="E4" s="4" t="s">
        <v>382</v>
      </c>
      <c r="F4" s="4" t="s">
        <v>383</v>
      </c>
    </row>
    <row r="5" ht="17" spans="1:6">
      <c r="A5" s="3" t="s">
        <v>17</v>
      </c>
      <c r="B5" s="3" t="s">
        <v>384</v>
      </c>
      <c r="C5" s="3" t="s">
        <v>385</v>
      </c>
      <c r="D5" s="3" t="s">
        <v>386</v>
      </c>
      <c r="E5" s="3" t="s">
        <v>387</v>
      </c>
      <c r="F5" s="3" t="s">
        <v>388</v>
      </c>
    </row>
    <row r="6" ht="34" spans="1:6">
      <c r="A6" s="4" t="s">
        <v>17</v>
      </c>
      <c r="B6" s="4" t="s">
        <v>389</v>
      </c>
      <c r="C6" s="4" t="s">
        <v>390</v>
      </c>
      <c r="D6" s="4" t="s">
        <v>391</v>
      </c>
      <c r="E6" s="4" t="s">
        <v>392</v>
      </c>
      <c r="F6" s="4" t="s">
        <v>393</v>
      </c>
    </row>
    <row r="7" ht="34" spans="1:6">
      <c r="A7" s="3" t="s">
        <v>70</v>
      </c>
      <c r="B7" s="3" t="s">
        <v>394</v>
      </c>
      <c r="C7" s="3" t="s">
        <v>395</v>
      </c>
      <c r="D7" s="3" t="s">
        <v>376</v>
      </c>
      <c r="E7" s="3" t="s">
        <v>396</v>
      </c>
      <c r="F7" s="3" t="s">
        <v>397</v>
      </c>
    </row>
    <row r="8" ht="34" spans="1:6">
      <c r="A8" s="4" t="s">
        <v>70</v>
      </c>
      <c r="B8" s="4" t="s">
        <v>398</v>
      </c>
      <c r="C8" s="4" t="s">
        <v>399</v>
      </c>
      <c r="D8" s="4" t="s">
        <v>400</v>
      </c>
      <c r="E8" s="4" t="s">
        <v>401</v>
      </c>
      <c r="F8" s="4" t="s">
        <v>402</v>
      </c>
    </row>
    <row r="9" ht="34" spans="1:6">
      <c r="A9" s="3" t="s">
        <v>70</v>
      </c>
      <c r="B9" s="3" t="s">
        <v>403</v>
      </c>
      <c r="C9" s="3" t="s">
        <v>404</v>
      </c>
      <c r="D9" s="3" t="s">
        <v>126</v>
      </c>
      <c r="E9" s="3" t="s">
        <v>405</v>
      </c>
      <c r="F9" s="3" t="s">
        <v>406</v>
      </c>
    </row>
    <row r="10" ht="34" spans="1:6">
      <c r="A10" s="4" t="s">
        <v>70</v>
      </c>
      <c r="B10" s="4" t="s">
        <v>407</v>
      </c>
      <c r="C10" s="4" t="s">
        <v>385</v>
      </c>
      <c r="D10" s="4" t="s">
        <v>386</v>
      </c>
      <c r="E10" s="4" t="s">
        <v>408</v>
      </c>
      <c r="F10" s="4" t="s">
        <v>409</v>
      </c>
    </row>
    <row r="11" ht="34" spans="1:6">
      <c r="A11" s="3" t="s">
        <v>97</v>
      </c>
      <c r="B11" s="3" t="s">
        <v>410</v>
      </c>
      <c r="C11" s="3" t="s">
        <v>411</v>
      </c>
      <c r="D11" s="3" t="s">
        <v>113</v>
      </c>
      <c r="E11" s="3" t="s">
        <v>412</v>
      </c>
      <c r="F11" s="3" t="s">
        <v>413</v>
      </c>
    </row>
    <row r="12" ht="17" spans="1:6">
      <c r="A12" s="4" t="s">
        <v>97</v>
      </c>
      <c r="B12" s="4" t="s">
        <v>414</v>
      </c>
      <c r="C12" s="4" t="s">
        <v>415</v>
      </c>
      <c r="D12" s="4" t="s">
        <v>113</v>
      </c>
      <c r="E12" s="4" t="s">
        <v>416</v>
      </c>
      <c r="F12" s="4" t="s">
        <v>417</v>
      </c>
    </row>
    <row r="13" ht="17" spans="1:6">
      <c r="A13" s="3" t="s">
        <v>97</v>
      </c>
      <c r="B13" s="3" t="s">
        <v>418</v>
      </c>
      <c r="C13" s="3" t="s">
        <v>419</v>
      </c>
      <c r="D13" s="3" t="s">
        <v>391</v>
      </c>
      <c r="E13" s="3" t="s">
        <v>420</v>
      </c>
      <c r="F13" s="3" t="s">
        <v>421</v>
      </c>
    </row>
    <row r="14" ht="34" spans="1:6">
      <c r="A14" s="4" t="s">
        <v>150</v>
      </c>
      <c r="B14" s="4" t="s">
        <v>422</v>
      </c>
      <c r="C14" s="4" t="s">
        <v>423</v>
      </c>
      <c r="D14" s="4" t="s">
        <v>381</v>
      </c>
      <c r="E14" s="4" t="s">
        <v>424</v>
      </c>
      <c r="F14" s="4" t="s">
        <v>425</v>
      </c>
    </row>
    <row r="15" ht="34" spans="1:6">
      <c r="A15" s="3" t="s">
        <v>150</v>
      </c>
      <c r="B15" s="3" t="s">
        <v>426</v>
      </c>
      <c r="C15" s="3" t="s">
        <v>427</v>
      </c>
      <c r="D15" s="3" t="s">
        <v>391</v>
      </c>
      <c r="E15" s="3" t="s">
        <v>428</v>
      </c>
      <c r="F15" s="3" t="s">
        <v>429</v>
      </c>
    </row>
    <row r="16" ht="34" spans="1:6">
      <c r="A16" s="4" t="s">
        <v>150</v>
      </c>
      <c r="B16" s="4" t="s">
        <v>430</v>
      </c>
      <c r="C16" s="4" t="s">
        <v>385</v>
      </c>
      <c r="D16" s="4" t="s">
        <v>431</v>
      </c>
      <c r="E16" s="4" t="s">
        <v>432</v>
      </c>
      <c r="F16" s="4" t="s">
        <v>433</v>
      </c>
    </row>
    <row r="17" ht="34" spans="1:6">
      <c r="A17" s="3" t="s">
        <v>176</v>
      </c>
      <c r="B17" s="3" t="s">
        <v>434</v>
      </c>
      <c r="C17" s="3" t="s">
        <v>435</v>
      </c>
      <c r="D17" s="3" t="s">
        <v>113</v>
      </c>
      <c r="E17" s="3" t="s">
        <v>436</v>
      </c>
      <c r="F17" s="3" t="s">
        <v>437</v>
      </c>
    </row>
    <row r="18" ht="34" spans="1:6">
      <c r="A18" s="4" t="s">
        <v>176</v>
      </c>
      <c r="B18" s="4" t="s">
        <v>438</v>
      </c>
      <c r="C18" s="4" t="s">
        <v>439</v>
      </c>
      <c r="D18" s="4" t="s">
        <v>440</v>
      </c>
      <c r="E18" s="4" t="s">
        <v>441</v>
      </c>
      <c r="F18" s="4" t="s">
        <v>442</v>
      </c>
    </row>
    <row r="19" ht="34" spans="1:6">
      <c r="A19" s="3" t="s">
        <v>176</v>
      </c>
      <c r="B19" s="3" t="s">
        <v>443</v>
      </c>
      <c r="C19" s="3" t="s">
        <v>444</v>
      </c>
      <c r="D19" s="3" t="s">
        <v>445</v>
      </c>
      <c r="E19" s="3" t="s">
        <v>446</v>
      </c>
      <c r="F19" s="3" t="s">
        <v>447</v>
      </c>
    </row>
    <row r="20" ht="34" spans="1:6">
      <c r="A20" s="4" t="s">
        <v>176</v>
      </c>
      <c r="B20" s="4" t="s">
        <v>448</v>
      </c>
      <c r="C20" s="4" t="s">
        <v>449</v>
      </c>
      <c r="D20" s="4" t="s">
        <v>450</v>
      </c>
      <c r="E20" s="4" t="s">
        <v>451</v>
      </c>
      <c r="F20" s="4" t="s">
        <v>452</v>
      </c>
    </row>
    <row r="21" ht="34" spans="1:6">
      <c r="A21" s="3" t="s">
        <v>176</v>
      </c>
      <c r="B21" s="3" t="s">
        <v>453</v>
      </c>
      <c r="C21" s="3" t="s">
        <v>454</v>
      </c>
      <c r="D21" s="3" t="s">
        <v>455</v>
      </c>
      <c r="E21" s="3" t="s">
        <v>456</v>
      </c>
      <c r="F21" s="3" t="s">
        <v>457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cols>
    <col min="1" max="1" width="22" customWidth="1"/>
    <col min="2" max="2" width="85" customWidth="1"/>
  </cols>
  <sheetData>
    <row r="1" ht="30" customHeight="1" spans="1:2">
      <c r="A1" s="1" t="s">
        <v>458</v>
      </c>
      <c r="B1" s="1" t="s">
        <v>459</v>
      </c>
    </row>
    <row r="2" ht="135" customHeight="1" spans="1:2">
      <c r="A2" s="2" t="s">
        <v>460</v>
      </c>
      <c r="B2" s="3" t="s">
        <v>461</v>
      </c>
    </row>
    <row r="3" ht="105" customHeight="1" spans="1:2">
      <c r="A3" s="2" t="s">
        <v>462</v>
      </c>
      <c r="B3" s="3" t="s">
        <v>463</v>
      </c>
    </row>
    <row r="4" ht="105" customHeight="1" spans="1:2">
      <c r="A4" s="2" t="s">
        <v>464</v>
      </c>
      <c r="B4" s="3" t="s">
        <v>465</v>
      </c>
    </row>
    <row r="5" ht="90" customHeight="1" spans="1:2">
      <c r="A5" s="2" t="s">
        <v>466</v>
      </c>
      <c r="B5" s="3" t="s">
        <v>467</v>
      </c>
    </row>
    <row r="6" ht="105" customHeight="1" spans="1:2">
      <c r="A6" s="2" t="s">
        <v>468</v>
      </c>
      <c r="B6" s="3" t="s">
        <v>469</v>
      </c>
    </row>
    <row r="7" ht="90" customHeight="1" spans="1:2">
      <c r="A7" s="2" t="s">
        <v>470</v>
      </c>
      <c r="B7" s="3" t="s">
        <v>471</v>
      </c>
    </row>
    <row r="8" ht="105" customHeight="1" spans="1:2">
      <c r="A8" s="2" t="s">
        <v>472</v>
      </c>
      <c r="B8" s="3" t="s">
        <v>473</v>
      </c>
    </row>
    <row r="9" ht="105" customHeight="1" spans="1:2">
      <c r="A9" s="2" t="s">
        <v>474</v>
      </c>
      <c r="B9" s="3" t="s">
        <v>475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旅程</vt:lpstr>
      <vt:lpstr>预算总览</vt:lpstr>
      <vt:lpstr>行前准备清单</vt:lpstr>
      <vt:lpstr>餐厅推荐</vt:lpstr>
      <vt:lpstr>实用贴士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</cp:lastModifiedBy>
  <dcterms:created xsi:type="dcterms:W3CDTF">2026-06-06T13:07:00Z</dcterms:created>
  <dcterms:modified xsi:type="dcterms:W3CDTF">2026-06-06T13:12:18Z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B9FA1CE8CF23B96632AC236A8E21C959_42</vt:lpwstr>
  </property>
  <property fmtid="{D5CDD505-2E9C-101B-9397-08002B2CF9AE}" pid="3" name="KSOProductBuildVer">
    <vt:lpwstr>2052-6.4.0.8550</vt:lpwstr>
  </property>
</Properties>
</file>